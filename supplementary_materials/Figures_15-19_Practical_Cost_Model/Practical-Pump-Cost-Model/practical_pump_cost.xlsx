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filterPrivacy="1" defaultThemeVersion="124226"/>
  <xr:revisionPtr revIDLastSave="0" documentId="13_ncr:1_{B3D20954-E71D-E144-B2EC-76EEE23F9778}" xr6:coauthVersionLast="47" xr6:coauthVersionMax="47" xr10:uidLastSave="{00000000-0000-0000-0000-000000000000}"/>
  <bookViews>
    <workbookView xWindow="0" yWindow="0" windowWidth="25600" windowHeight="14920" activeTab="1" xr2:uid="{00000000-000D-0000-FFFF-FFFF00000000}"/>
  </bookViews>
  <sheets>
    <sheet name="pump cost" sheetId="1" r:id="rId1"/>
    <sheet name="SimPnjBKZ" sheetId="5" r:id="rId2"/>
    <sheet name="PnjBKZ cost" sheetId="2" r:id="rId3"/>
    <sheet name="PnjBKZ cost （ds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5" l="1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5" i="5"/>
  <c r="H34" i="5"/>
  <c r="H35" i="5"/>
  <c r="H36" i="5"/>
  <c r="H37" i="5"/>
  <c r="H38" i="5"/>
  <c r="H39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5" i="5"/>
  <c r="I45" i="1"/>
  <c r="I41" i="1"/>
  <c r="I42" i="1"/>
  <c r="I43" i="1"/>
  <c r="I44" i="1"/>
  <c r="K186" i="4" l="1"/>
  <c r="J9" i="4"/>
  <c r="J10" i="4"/>
  <c r="J11" i="4"/>
  <c r="J12" i="4"/>
  <c r="J13" i="4"/>
  <c r="K16" i="4" s="1"/>
  <c r="J14" i="4"/>
  <c r="J15" i="4"/>
  <c r="K15" i="4" s="1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K76" i="4" s="1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K103" i="4" s="1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K189" i="4" s="1"/>
  <c r="J190" i="4"/>
  <c r="K190" i="4" s="1"/>
  <c r="J191" i="4"/>
  <c r="K191" i="4" s="1"/>
  <c r="J192" i="4"/>
  <c r="K192" i="4" s="1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K233" i="4" s="1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8" i="4"/>
  <c r="J7" i="4"/>
  <c r="K12" i="4" s="1"/>
  <c r="K193" i="4"/>
  <c r="K188" i="4"/>
  <c r="K187" i="4"/>
  <c r="H185" i="4"/>
  <c r="I233" i="4"/>
  <c r="I234" i="4"/>
  <c r="I235" i="4"/>
  <c r="I236" i="4"/>
  <c r="I237" i="4"/>
  <c r="I232" i="4"/>
  <c r="H231" i="4"/>
  <c r="K101" i="4"/>
  <c r="K102" i="4"/>
  <c r="K104" i="4"/>
  <c r="K105" i="4"/>
  <c r="K106" i="4"/>
  <c r="K100" i="4"/>
  <c r="I101" i="4"/>
  <c r="I102" i="4"/>
  <c r="I103" i="4"/>
  <c r="I104" i="4"/>
  <c r="I105" i="4"/>
  <c r="I106" i="4"/>
  <c r="I100" i="4"/>
  <c r="H99" i="4"/>
  <c r="K77" i="4"/>
  <c r="K78" i="4"/>
  <c r="K79" i="4"/>
  <c r="K80" i="4"/>
  <c r="K81" i="4"/>
  <c r="K82" i="4"/>
  <c r="I77" i="4"/>
  <c r="I78" i="4"/>
  <c r="I79" i="4"/>
  <c r="I80" i="4"/>
  <c r="I81" i="4"/>
  <c r="I82" i="4"/>
  <c r="I76" i="4"/>
  <c r="K26" i="4"/>
  <c r="K30" i="4"/>
  <c r="K29" i="4"/>
  <c r="K28" i="4"/>
  <c r="K27" i="4"/>
  <c r="I27" i="4"/>
  <c r="I28" i="4"/>
  <c r="I29" i="4"/>
  <c r="I30" i="4"/>
  <c r="I26" i="4"/>
  <c r="K21" i="4"/>
  <c r="K22" i="4"/>
  <c r="K23" i="4"/>
  <c r="K24" i="4"/>
  <c r="K20" i="4"/>
  <c r="K17" i="4"/>
  <c r="K18" i="4"/>
  <c r="K14" i="4"/>
  <c r="K8" i="4"/>
  <c r="I23" i="4"/>
  <c r="H19" i="4"/>
  <c r="I21" i="4" s="1"/>
  <c r="I16" i="4"/>
  <c r="I18" i="4"/>
  <c r="I14" i="4"/>
  <c r="I10" i="4"/>
  <c r="I8" i="4"/>
  <c r="I9" i="4"/>
  <c r="H91" i="4"/>
  <c r="H83" i="4"/>
  <c r="H75" i="4"/>
  <c r="H68" i="4"/>
  <c r="H61" i="4"/>
  <c r="H55" i="4"/>
  <c r="H49" i="4"/>
  <c r="H43" i="4"/>
  <c r="H37" i="4"/>
  <c r="H31" i="4"/>
  <c r="H25" i="4"/>
  <c r="H13" i="4"/>
  <c r="I17" i="4" s="1"/>
  <c r="H7" i="4"/>
  <c r="I12" i="4" s="1"/>
  <c r="K133" i="2"/>
  <c r="K134" i="2"/>
  <c r="K135" i="2"/>
  <c r="K132" i="2"/>
  <c r="K11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9" i="2"/>
  <c r="K9" i="2" s="1"/>
  <c r="J8" i="2"/>
  <c r="H146" i="2"/>
  <c r="H141" i="2"/>
  <c r="H136" i="2"/>
  <c r="H131" i="2"/>
  <c r="I135" i="2" s="1"/>
  <c r="H126" i="2"/>
  <c r="H121" i="2"/>
  <c r="H116" i="2"/>
  <c r="H111" i="2"/>
  <c r="H106" i="2"/>
  <c r="H101" i="2"/>
  <c r="H96" i="2"/>
  <c r="H91" i="2"/>
  <c r="H86" i="2"/>
  <c r="H81" i="2"/>
  <c r="H76" i="2"/>
  <c r="H71" i="2"/>
  <c r="H66" i="2"/>
  <c r="H61" i="2"/>
  <c r="H56" i="2"/>
  <c r="H51" i="2"/>
  <c r="H46" i="2"/>
  <c r="H41" i="2"/>
  <c r="H36" i="2"/>
  <c r="H31" i="2"/>
  <c r="H26" i="2"/>
  <c r="H22" i="2"/>
  <c r="H18" i="2"/>
  <c r="I20" i="2" s="1"/>
  <c r="I17" i="2"/>
  <c r="I16" i="2"/>
  <c r="H15" i="2"/>
  <c r="H12" i="2"/>
  <c r="I14" i="2" s="1"/>
  <c r="H10" i="2"/>
  <c r="I11" i="2" s="1"/>
  <c r="H8" i="2"/>
  <c r="I9" i="2" s="1"/>
  <c r="H7" i="2"/>
  <c r="K237" i="4" l="1"/>
  <c r="K232" i="4"/>
  <c r="K235" i="4"/>
  <c r="K236" i="4"/>
  <c r="K234" i="4"/>
  <c r="K9" i="4"/>
  <c r="I15" i="4"/>
  <c r="K10" i="4"/>
  <c r="K11" i="4"/>
  <c r="I20" i="4"/>
  <c r="I24" i="4"/>
  <c r="I11" i="4"/>
  <c r="I22" i="4"/>
  <c r="I19" i="2"/>
  <c r="I13" i="2"/>
  <c r="I21" i="2"/>
  <c r="I132" i="2"/>
  <c r="I133" i="2"/>
  <c r="I134" i="2"/>
  <c r="G45" i="1" l="1"/>
  <c r="G42" i="1"/>
  <c r="G43" i="1"/>
  <c r="G44" i="1"/>
  <c r="G41" i="1"/>
  <c r="G39" i="1"/>
  <c r="G40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5" i="1"/>
</calcChain>
</file>

<file path=xl/sharedStrings.xml><?xml version="1.0" encoding="utf-8"?>
<sst xmlns="http://schemas.openxmlformats.org/spreadsheetml/2006/main" count="48" uniqueCount="27">
  <si>
    <t>sieve_dim</t>
  </si>
  <si>
    <t>kappa</t>
  </si>
  <si>
    <t>dim</t>
  </si>
  <si>
    <t>AvgT/s</t>
  </si>
  <si>
    <t>AvgRAM/GB</t>
  </si>
  <si>
    <t>log2(AvgT/s)</t>
    <phoneticPr fontId="2" type="noConversion"/>
  </si>
  <si>
    <t> </t>
  </si>
  <si>
    <t>practical pump cost in 32 threads(Intel Xeon 5128 16c 32@2.3GHz), 1.48T RAM and 2 gpus(NVIDIA Geforce RTX 3090).
Test instance: svpchallenge-180.
AvgTime in 10 trials.
rebuild.sh -y</t>
  </si>
  <si>
    <t>beta</t>
  </si>
  <si>
    <t>jump</t>
  </si>
  <si>
    <t xml:space="preserve">  `</t>
  </si>
  <si>
    <t>practical PnjBKZ cost in 32 threads(Intel Xeon 5128 16c 32@2.3GHz), 1.48T RAM and 2 gpus(NVIDIA Geforce RTX 3090).
Test instance: svpchallenge-180 with down_stop = blocksize - dim4free
AvgTime in 10 trials.
rebuild.sh -y</t>
    <phoneticPr fontId="2" type="noConversion"/>
  </si>
  <si>
    <t>simT/s(jump=1)</t>
    <phoneticPr fontId="2" type="noConversion"/>
  </si>
  <si>
    <t>simT/s(jump&gt;1, T(jump=1)/jump)</t>
    <phoneticPr fontId="2" type="noConversion"/>
  </si>
  <si>
    <t>indices_num</t>
    <phoneticPr fontId="2" type="noConversion"/>
  </si>
  <si>
    <t>practical PnjBKZ cost in 32 threads(Intel Xeon 5128 16c 32@2.3GHz), 1.48T RAM and 2 gpus(NVIDIA Geforce RTX 3090).
Test instance: svpchallenge-180.
AvgTime in 10 trials.
rebuild.sh -y</t>
    <phoneticPr fontId="2" type="noConversion"/>
  </si>
  <si>
    <t>blocksize</t>
  </si>
  <si>
    <t>SimPnjBKZCost[d-β-xf+1:d]</t>
  </si>
  <si>
    <t>B_of_AvgMidCost</t>
    <phoneticPr fontId="2" type="noConversion"/>
  </si>
  <si>
    <t>log2(B_of_AvgMidCost)</t>
    <phoneticPr fontId="2" type="noConversion"/>
  </si>
  <si>
    <t>SimPnjBKZCost[0]</t>
    <phoneticPr fontId="2" type="noConversion"/>
  </si>
  <si>
    <t>log2(SimPnjBKZCost[0])</t>
    <phoneticPr fontId="2" type="noConversion"/>
  </si>
  <si>
    <t>sieve_dim</t>
    <phoneticPr fontId="2" type="noConversion"/>
  </si>
  <si>
    <t>log2(SimPnjBKZCost[d-β-xf+1:d])</t>
    <phoneticPr fontId="2" type="noConversion"/>
  </si>
  <si>
    <t>SimPnjBKZCost[1:f+xf]</t>
    <phoneticPr fontId="2" type="noConversion"/>
  </si>
  <si>
    <t>log2(SimPnjBKZCost[1:f+xf])</t>
    <phoneticPr fontId="2" type="noConversion"/>
  </si>
  <si>
    <t>A_of_AvgMidCost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</si>
</sst>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5B050"/>
      </left>
      <right/>
      <top style="thin">
        <color rgb="FF05B050"/>
      </top>
      <bottom/>
      <diagonal/>
    </border>
    <border>
      <left/>
      <right/>
      <top style="thin">
        <color rgb="FF05B050"/>
      </top>
      <bottom/>
      <diagonal/>
    </border>
    <border>
      <left/>
      <right style="thin">
        <color rgb="FF05B050"/>
      </right>
      <top style="thin">
        <color rgb="FF05B050"/>
      </top>
      <bottom/>
      <diagonal/>
    </border>
    <border>
      <left style="thin">
        <color rgb="FF05B050"/>
      </left>
      <right/>
      <top/>
      <bottom style="thin">
        <color rgb="FF05B050"/>
      </bottom>
      <diagonal/>
    </border>
    <border>
      <left/>
      <right/>
      <top/>
      <bottom style="thin">
        <color rgb="FF05B050"/>
      </bottom>
      <diagonal/>
    </border>
    <border>
      <left/>
      <right style="thin">
        <color rgb="FF05B050"/>
      </right>
      <top/>
      <bottom style="thin">
        <color rgb="FF05B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0" fillId="0" borderId="7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SimPnjBKZ!$F$4</c:f>
              <c:strCache>
                <c:ptCount val="1"/>
                <c:pt idx="0">
                  <c:v>A_of_AvgMidCost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SimPnjBKZ!$E$5:$E$39</c:f>
              <c:numCache>
                <c:formatCode>General</c:formatCode>
                <c:ptCount val="3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84</c:v>
                </c:pt>
                <c:pt idx="27">
                  <c:v>86</c:v>
                </c:pt>
                <c:pt idx="28">
                  <c:v>88</c:v>
                </c:pt>
                <c:pt idx="29">
                  <c:v>90</c:v>
                </c:pt>
                <c:pt idx="30">
                  <c:v>92</c:v>
                </c:pt>
                <c:pt idx="31">
                  <c:v>94</c:v>
                </c:pt>
                <c:pt idx="32">
                  <c:v>95</c:v>
                </c:pt>
                <c:pt idx="33">
                  <c:v>97</c:v>
                </c:pt>
                <c:pt idx="34">
                  <c:v>99</c:v>
                </c:pt>
              </c:numCache>
            </c:numRef>
          </c:cat>
          <c:val>
            <c:numRef>
              <c:f>SimPnjBKZ!$F$5:$F$39</c:f>
              <c:numCache>
                <c:formatCode>General</c:formatCode>
                <c:ptCount val="35"/>
                <c:pt idx="0">
                  <c:v>5.3400000000000001E-3</c:v>
                </c:pt>
                <c:pt idx="1">
                  <c:v>7.6400000000000001E-3</c:v>
                </c:pt>
                <c:pt idx="2">
                  <c:v>7.9799999999999992E-3</c:v>
                </c:pt>
                <c:pt idx="3">
                  <c:v>9.11E-3</c:v>
                </c:pt>
                <c:pt idx="4">
                  <c:v>9.5099999999999994E-3</c:v>
                </c:pt>
                <c:pt idx="5">
                  <c:v>1.014E-2</c:v>
                </c:pt>
                <c:pt idx="6">
                  <c:v>1.055E-2</c:v>
                </c:pt>
                <c:pt idx="7">
                  <c:v>1.1039999999999999E-2</c:v>
                </c:pt>
                <c:pt idx="8">
                  <c:v>1.1350000000000001E-2</c:v>
                </c:pt>
                <c:pt idx="9">
                  <c:v>1.132E-2</c:v>
                </c:pt>
                <c:pt idx="10">
                  <c:v>1.635E-2</c:v>
                </c:pt>
                <c:pt idx="11">
                  <c:v>1.503E-2</c:v>
                </c:pt>
                <c:pt idx="12">
                  <c:v>1.537E-2</c:v>
                </c:pt>
                <c:pt idx="13">
                  <c:v>1.542E-2</c:v>
                </c:pt>
                <c:pt idx="14">
                  <c:v>1.789E-2</c:v>
                </c:pt>
                <c:pt idx="15">
                  <c:v>1.7309999999999999E-2</c:v>
                </c:pt>
                <c:pt idx="16">
                  <c:v>2.0400000000000001E-2</c:v>
                </c:pt>
                <c:pt idx="17">
                  <c:v>2.3040000000000001E-2</c:v>
                </c:pt>
                <c:pt idx="18">
                  <c:v>2.5569999999999999E-2</c:v>
                </c:pt>
                <c:pt idx="19">
                  <c:v>2.061E-2</c:v>
                </c:pt>
                <c:pt idx="20">
                  <c:v>2.2110000000000001E-2</c:v>
                </c:pt>
                <c:pt idx="21">
                  <c:v>3.0179999999999998E-2</c:v>
                </c:pt>
                <c:pt idx="22">
                  <c:v>2.2800000000000001E-2</c:v>
                </c:pt>
                <c:pt idx="23">
                  <c:v>2.443E-2</c:v>
                </c:pt>
                <c:pt idx="24">
                  <c:v>3.3439999999999998E-2</c:v>
                </c:pt>
                <c:pt idx="25">
                  <c:v>3.1199999999999999E-2</c:v>
                </c:pt>
                <c:pt idx="26">
                  <c:v>2.7689999999999999E-2</c:v>
                </c:pt>
                <c:pt idx="27">
                  <c:v>3.5799999999999998E-2</c:v>
                </c:pt>
                <c:pt idx="28">
                  <c:v>2.453E-2</c:v>
                </c:pt>
                <c:pt idx="29">
                  <c:v>4.5539999999999997E-2</c:v>
                </c:pt>
                <c:pt idx="30">
                  <c:v>2.2190000000000001E-2</c:v>
                </c:pt>
                <c:pt idx="31">
                  <c:v>5.1020000000000003E-2</c:v>
                </c:pt>
                <c:pt idx="32">
                  <c:v>-7.3730000000000004E-2</c:v>
                </c:pt>
                <c:pt idx="33">
                  <c:v>0.17768</c:v>
                </c:pt>
                <c:pt idx="34">
                  <c:v>8.1920000000000007E-2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3-8A40-B657-09891049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857456"/>
        <c:axId val="1977342944"/>
      </c:lineChart>
      <c:catAx>
        <c:axId val="1976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342944"/>
        <c:crosses val="autoZero"/>
        <c:auto val="1"/>
        <c:lblAlgn val="ctr"/>
        <c:lblOffset val="100"/>
        <c:noMultiLvlLbl val="0"/>
      </c:catAx>
      <c:valAx>
        <c:axId val="19773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8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SimPnjBKZ!$G$4</c:f>
              <c:strCache>
                <c:ptCount val="1"/>
                <c:pt idx="0">
                  <c:v>B_of_AvgMidCost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SimPnjBKZ!$E$5:$E$39</c:f>
              <c:numCache>
                <c:formatCode>General</c:formatCode>
                <c:ptCount val="3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84</c:v>
                </c:pt>
                <c:pt idx="27">
                  <c:v>86</c:v>
                </c:pt>
                <c:pt idx="28">
                  <c:v>88</c:v>
                </c:pt>
                <c:pt idx="29">
                  <c:v>90</c:v>
                </c:pt>
                <c:pt idx="30">
                  <c:v>92</c:v>
                </c:pt>
                <c:pt idx="31">
                  <c:v>94</c:v>
                </c:pt>
                <c:pt idx="32">
                  <c:v>95</c:v>
                </c:pt>
                <c:pt idx="33">
                  <c:v>97</c:v>
                </c:pt>
                <c:pt idx="34">
                  <c:v>99</c:v>
                </c:pt>
              </c:numCache>
            </c:numRef>
          </c:cat>
          <c:val>
            <c:numRef>
              <c:f>SimPnjBKZ!$G$5:$G$39</c:f>
              <c:numCache>
                <c:formatCode>General</c:formatCode>
                <c:ptCount val="35"/>
                <c:pt idx="0">
                  <c:v>2.8404199999999999</c:v>
                </c:pt>
                <c:pt idx="1">
                  <c:v>2.84849</c:v>
                </c:pt>
                <c:pt idx="2">
                  <c:v>2.9527100000000002</c:v>
                </c:pt>
                <c:pt idx="3">
                  <c:v>2.7974999999999999</c:v>
                </c:pt>
                <c:pt idx="4">
                  <c:v>2.8728600000000002</c:v>
                </c:pt>
                <c:pt idx="5">
                  <c:v>2.9626899999999998</c:v>
                </c:pt>
                <c:pt idx="6">
                  <c:v>3.1171799999999998</c:v>
                </c:pt>
                <c:pt idx="7">
                  <c:v>3.1851799999999999</c:v>
                </c:pt>
                <c:pt idx="8">
                  <c:v>3.3182499999999999</c:v>
                </c:pt>
                <c:pt idx="9">
                  <c:v>3.3214399999999999</c:v>
                </c:pt>
                <c:pt idx="10">
                  <c:v>3.0762</c:v>
                </c:pt>
                <c:pt idx="11">
                  <c:v>3.3766600000000002</c:v>
                </c:pt>
                <c:pt idx="12">
                  <c:v>3.5822500000000002</c:v>
                </c:pt>
                <c:pt idx="13">
                  <c:v>3.91818</c:v>
                </c:pt>
                <c:pt idx="14">
                  <c:v>4.2455100000000003</c:v>
                </c:pt>
                <c:pt idx="15">
                  <c:v>4.8158200000000004</c:v>
                </c:pt>
                <c:pt idx="16">
                  <c:v>7.09192</c:v>
                </c:pt>
                <c:pt idx="17">
                  <c:v>7.8543900000000004</c:v>
                </c:pt>
                <c:pt idx="18">
                  <c:v>8.2481600000000004</c:v>
                </c:pt>
                <c:pt idx="19">
                  <c:v>9.5430700000000002</c:v>
                </c:pt>
                <c:pt idx="20">
                  <c:v>10.301679999999999</c:v>
                </c:pt>
                <c:pt idx="21">
                  <c:v>10.919549999999999</c:v>
                </c:pt>
                <c:pt idx="22">
                  <c:v>12.69289</c:v>
                </c:pt>
                <c:pt idx="23">
                  <c:v>13.86835</c:v>
                </c:pt>
                <c:pt idx="24">
                  <c:v>15.08675</c:v>
                </c:pt>
                <c:pt idx="25">
                  <c:v>16.44398</c:v>
                </c:pt>
                <c:pt idx="26">
                  <c:v>18.856459999999998</c:v>
                </c:pt>
                <c:pt idx="27">
                  <c:v>22.22364</c:v>
                </c:pt>
                <c:pt idx="28">
                  <c:v>27.610189999999999</c:v>
                </c:pt>
                <c:pt idx="29">
                  <c:v>33.016629999999999</c:v>
                </c:pt>
                <c:pt idx="30">
                  <c:v>43.402419999999999</c:v>
                </c:pt>
                <c:pt idx="31">
                  <c:v>53.038200000000003</c:v>
                </c:pt>
                <c:pt idx="32">
                  <c:v>69.924049999999994</c:v>
                </c:pt>
                <c:pt idx="33">
                  <c:v>77.532139999999998</c:v>
                </c:pt>
                <c:pt idx="34">
                  <c:v>106.91253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0-B648-907C-63CA8A48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857456"/>
        <c:axId val="1977342944"/>
      </c:lineChart>
      <c:catAx>
        <c:axId val="1976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342944"/>
        <c:crosses val="autoZero"/>
        <c:auto val="1"/>
        <c:lblAlgn val="ctr"/>
        <c:lblOffset val="100"/>
        <c:noMultiLvlLbl val="0"/>
      </c:catAx>
      <c:valAx>
        <c:axId val="19773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8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SimPnjBKZ!$H$4</c:f>
              <c:strCache>
                <c:ptCount val="1"/>
                <c:pt idx="0">
                  <c:v>log2(B_of_AvgMidCost)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SimPnjBKZ!$E$5:$E$39</c:f>
              <c:numCache>
                <c:formatCode>General</c:formatCode>
                <c:ptCount val="3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84</c:v>
                </c:pt>
                <c:pt idx="27">
                  <c:v>86</c:v>
                </c:pt>
                <c:pt idx="28">
                  <c:v>88</c:v>
                </c:pt>
                <c:pt idx="29">
                  <c:v>90</c:v>
                </c:pt>
                <c:pt idx="30">
                  <c:v>92</c:v>
                </c:pt>
                <c:pt idx="31">
                  <c:v>94</c:v>
                </c:pt>
                <c:pt idx="32">
                  <c:v>95</c:v>
                </c:pt>
                <c:pt idx="33">
                  <c:v>97</c:v>
                </c:pt>
                <c:pt idx="34">
                  <c:v>99</c:v>
                </c:pt>
              </c:numCache>
            </c:numRef>
          </c:cat>
          <c:val>
            <c:numRef>
              <c:f>SimPnjBKZ!$H$5:$H$39</c:f>
              <c:numCache>
                <c:formatCode>General</c:formatCode>
                <c:ptCount val="35"/>
                <c:pt idx="0">
                  <c:v>1.5061042702640297</c:v>
                </c:pt>
                <c:pt idx="1">
                  <c:v>1.510197341446154</c:v>
                </c:pt>
                <c:pt idx="2">
                  <c:v>1.5620396693378245</c:v>
                </c:pt>
                <c:pt idx="3">
                  <c:v>1.484138131201669</c:v>
                </c:pt>
                <c:pt idx="4">
                  <c:v>1.5224876892759307</c:v>
                </c:pt>
                <c:pt idx="5">
                  <c:v>1.566907678320788</c:v>
                </c:pt>
                <c:pt idx="6">
                  <c:v>1.6402414650722068</c:v>
                </c:pt>
                <c:pt idx="7">
                  <c:v>1.6713749039633956</c:v>
                </c:pt>
                <c:pt idx="8">
                  <c:v>1.7304225843568066</c:v>
                </c:pt>
                <c:pt idx="9">
                  <c:v>1.7318088531538556</c:v>
                </c:pt>
                <c:pt idx="10">
                  <c:v>1.6211493035690026</c:v>
                </c:pt>
                <c:pt idx="11">
                  <c:v>1.7555969199410617</c:v>
                </c:pt>
                <c:pt idx="12">
                  <c:v>1.8408660244189277</c:v>
                </c:pt>
                <c:pt idx="13">
                  <c:v>1.9701836761002272</c:v>
                </c:pt>
                <c:pt idx="14">
                  <c:v>2.0859378706866596</c:v>
                </c:pt>
                <c:pt idx="15">
                  <c:v>2.2677814697636451</c:v>
                </c:pt>
                <c:pt idx="16">
                  <c:v>2.8261762620890778</c:v>
                </c:pt>
                <c:pt idx="17">
                  <c:v>2.9734992350168952</c:v>
                </c:pt>
                <c:pt idx="18">
                  <c:v>3.0440723187593273</c:v>
                </c:pt>
                <c:pt idx="19">
                  <c:v>3.2544534550446138</c:v>
                </c:pt>
                <c:pt idx="20">
                  <c:v>3.3648077264732303</c:v>
                </c:pt>
                <c:pt idx="21">
                  <c:v>3.4488414982014093</c:v>
                </c:pt>
                <c:pt idx="22">
                  <c:v>3.6659486836861874</c:v>
                </c:pt>
                <c:pt idx="23">
                  <c:v>3.7937242467579768</c:v>
                </c:pt>
                <c:pt idx="24">
                  <c:v>3.9152101476787475</c:v>
                </c:pt>
                <c:pt idx="25">
                  <c:v>4.039487617224256</c:v>
                </c:pt>
                <c:pt idx="26">
                  <c:v>4.236986953307218</c:v>
                </c:pt>
                <c:pt idx="27">
                  <c:v>4.4740232293399442</c:v>
                </c:pt>
                <c:pt idx="28">
                  <c:v>4.7871289107783799</c:v>
                </c:pt>
                <c:pt idx="29">
                  <c:v>5.045120967094773</c:v>
                </c:pt>
                <c:pt idx="30">
                  <c:v>5.4397035805217229</c:v>
                </c:pt>
                <c:pt idx="31">
                  <c:v>5.7289599092681271</c:v>
                </c:pt>
                <c:pt idx="32">
                  <c:v>6.1277168430225206</c:v>
                </c:pt>
                <c:pt idx="33">
                  <c:v>6.2767225808432316</c:v>
                </c:pt>
                <c:pt idx="34">
                  <c:v>6.7402871345966746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1-D74E-B099-F1F1A50A8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857456"/>
        <c:axId val="1977342944"/>
      </c:lineChart>
      <c:catAx>
        <c:axId val="1976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342944"/>
        <c:crosses val="autoZero"/>
        <c:auto val="1"/>
        <c:lblAlgn val="ctr"/>
        <c:lblOffset val="100"/>
        <c:noMultiLvlLbl val="0"/>
      </c:catAx>
      <c:valAx>
        <c:axId val="19773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8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SimPnjBKZ!$I$4</c:f>
              <c:strCache>
                <c:ptCount val="1"/>
                <c:pt idx="0">
                  <c:v>SimPnjBKZCost[0]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SimPnjBKZ!$E$5:$E$39</c:f>
              <c:numCache>
                <c:formatCode>General</c:formatCode>
                <c:ptCount val="3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84</c:v>
                </c:pt>
                <c:pt idx="27">
                  <c:v>86</c:v>
                </c:pt>
                <c:pt idx="28">
                  <c:v>88</c:v>
                </c:pt>
                <c:pt idx="29">
                  <c:v>90</c:v>
                </c:pt>
                <c:pt idx="30">
                  <c:v>92</c:v>
                </c:pt>
                <c:pt idx="31">
                  <c:v>94</c:v>
                </c:pt>
                <c:pt idx="32">
                  <c:v>95</c:v>
                </c:pt>
                <c:pt idx="33">
                  <c:v>97</c:v>
                </c:pt>
                <c:pt idx="34">
                  <c:v>99</c:v>
                </c:pt>
              </c:numCache>
            </c:numRef>
          </c:cat>
          <c:val>
            <c:numRef>
              <c:f>SimPnjBKZ!$I$5:$I$39</c:f>
              <c:numCache>
                <c:formatCode>General</c:formatCode>
                <c:ptCount val="35"/>
                <c:pt idx="0">
                  <c:v>4.07</c:v>
                </c:pt>
                <c:pt idx="1">
                  <c:v>2.73</c:v>
                </c:pt>
                <c:pt idx="2">
                  <c:v>2.79</c:v>
                </c:pt>
                <c:pt idx="3">
                  <c:v>2.58</c:v>
                </c:pt>
                <c:pt idx="4">
                  <c:v>2.85</c:v>
                </c:pt>
                <c:pt idx="5">
                  <c:v>2.9</c:v>
                </c:pt>
                <c:pt idx="6">
                  <c:v>2.8</c:v>
                </c:pt>
                <c:pt idx="7">
                  <c:v>3.07</c:v>
                </c:pt>
                <c:pt idx="8">
                  <c:v>3.06</c:v>
                </c:pt>
                <c:pt idx="9">
                  <c:v>3.27</c:v>
                </c:pt>
                <c:pt idx="10">
                  <c:v>3.31</c:v>
                </c:pt>
                <c:pt idx="11">
                  <c:v>3.17</c:v>
                </c:pt>
                <c:pt idx="12">
                  <c:v>3.63</c:v>
                </c:pt>
                <c:pt idx="13">
                  <c:v>3.91</c:v>
                </c:pt>
                <c:pt idx="14">
                  <c:v>4.38</c:v>
                </c:pt>
                <c:pt idx="15">
                  <c:v>4.71</c:v>
                </c:pt>
                <c:pt idx="16">
                  <c:v>7.29</c:v>
                </c:pt>
                <c:pt idx="17">
                  <c:v>8.7799999999999994</c:v>
                </c:pt>
                <c:pt idx="18">
                  <c:v>9.52</c:v>
                </c:pt>
                <c:pt idx="19">
                  <c:v>10.85</c:v>
                </c:pt>
                <c:pt idx="20">
                  <c:v>12.06</c:v>
                </c:pt>
                <c:pt idx="21">
                  <c:v>13.18</c:v>
                </c:pt>
                <c:pt idx="22">
                  <c:v>15.04</c:v>
                </c:pt>
                <c:pt idx="23">
                  <c:v>17.79</c:v>
                </c:pt>
                <c:pt idx="24">
                  <c:v>21.43</c:v>
                </c:pt>
                <c:pt idx="25">
                  <c:v>21.73</c:v>
                </c:pt>
                <c:pt idx="26">
                  <c:v>27.44</c:v>
                </c:pt>
                <c:pt idx="27">
                  <c:v>35.950000000000003</c:v>
                </c:pt>
                <c:pt idx="28">
                  <c:v>44.84</c:v>
                </c:pt>
                <c:pt idx="29">
                  <c:v>59.26</c:v>
                </c:pt>
                <c:pt idx="30">
                  <c:v>75.66</c:v>
                </c:pt>
                <c:pt idx="31">
                  <c:v>97.34</c:v>
                </c:pt>
                <c:pt idx="32">
                  <c:v>118.09</c:v>
                </c:pt>
                <c:pt idx="33">
                  <c:v>153.94</c:v>
                </c:pt>
                <c:pt idx="34">
                  <c:v>211.73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9-3747-B932-502280836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857456"/>
        <c:axId val="1977342944"/>
      </c:lineChart>
      <c:catAx>
        <c:axId val="1976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342944"/>
        <c:crosses val="autoZero"/>
        <c:auto val="1"/>
        <c:lblAlgn val="ctr"/>
        <c:lblOffset val="100"/>
        <c:noMultiLvlLbl val="0"/>
      </c:catAx>
      <c:valAx>
        <c:axId val="19773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8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SimPnjBKZ!$J$4</c:f>
              <c:strCache>
                <c:ptCount val="1"/>
                <c:pt idx="0">
                  <c:v>log2(SimPnjBKZCost[0])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SimPnjBKZ!$E$5:$E$39</c:f>
              <c:numCache>
                <c:formatCode>General</c:formatCode>
                <c:ptCount val="3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84</c:v>
                </c:pt>
                <c:pt idx="27">
                  <c:v>86</c:v>
                </c:pt>
                <c:pt idx="28">
                  <c:v>88</c:v>
                </c:pt>
                <c:pt idx="29">
                  <c:v>90</c:v>
                </c:pt>
                <c:pt idx="30">
                  <c:v>92</c:v>
                </c:pt>
                <c:pt idx="31">
                  <c:v>94</c:v>
                </c:pt>
                <c:pt idx="32">
                  <c:v>95</c:v>
                </c:pt>
                <c:pt idx="33">
                  <c:v>97</c:v>
                </c:pt>
                <c:pt idx="34">
                  <c:v>99</c:v>
                </c:pt>
              </c:numCache>
            </c:numRef>
          </c:cat>
          <c:val>
            <c:numRef>
              <c:f>SimPnjBKZ!$J$5:$J$39</c:f>
              <c:numCache>
                <c:formatCode>General</c:formatCode>
                <c:ptCount val="35"/>
                <c:pt idx="0">
                  <c:v>2.0250287944915226</c:v>
                </c:pt>
                <c:pt idx="1">
                  <c:v>1.4489009511451278</c:v>
                </c:pt>
                <c:pt idx="2">
                  <c:v>1.4802651220544629</c:v>
                </c:pt>
                <c:pt idx="3">
                  <c:v>1.3673710656485296</c:v>
                </c:pt>
                <c:pt idx="4">
                  <c:v>1.5109619192773793</c:v>
                </c:pt>
                <c:pt idx="5">
                  <c:v>1.5360529002402097</c:v>
                </c:pt>
                <c:pt idx="6">
                  <c:v>1.4854268271702415</c:v>
                </c:pt>
                <c:pt idx="7">
                  <c:v>1.6182386555954547</c:v>
                </c:pt>
                <c:pt idx="8">
                  <c:v>1.6135316529179271</c:v>
                </c:pt>
                <c:pt idx="9">
                  <c:v>1.7092906357233579</c:v>
                </c:pt>
                <c:pt idx="10">
                  <c:v>1.7268312170324931</c:v>
                </c:pt>
                <c:pt idx="11">
                  <c:v>1.6644828403646825</c:v>
                </c:pt>
                <c:pt idx="12">
                  <c:v>1.8599695482210259</c:v>
                </c:pt>
                <c:pt idx="13">
                  <c:v>1.9671686075326278</c:v>
                </c:pt>
                <c:pt idx="14">
                  <c:v>2.1309308698264489</c:v>
                </c:pt>
                <c:pt idx="15">
                  <c:v>2.2357270598380583</c:v>
                </c:pt>
                <c:pt idx="16">
                  <c:v>2.8659188145522125</c:v>
                </c:pt>
                <c:pt idx="17">
                  <c:v>3.1342209397606333</c:v>
                </c:pt>
                <c:pt idx="18">
                  <c:v>3.2509615735332189</c:v>
                </c:pt>
                <c:pt idx="19">
                  <c:v>3.4396231375571169</c:v>
                </c:pt>
                <c:pt idx="20">
                  <c:v>3.5921580021253603</c:v>
                </c:pt>
                <c:pt idx="21">
                  <c:v>3.7202784652333274</c:v>
                </c:pt>
                <c:pt idx="22">
                  <c:v>3.9107326619029128</c:v>
                </c:pt>
                <c:pt idx="23">
                  <c:v>4.1529946054924354</c:v>
                </c:pt>
                <c:pt idx="24">
                  <c:v>4.4215599449018228</c:v>
                </c:pt>
                <c:pt idx="25">
                  <c:v>4.4416162694065582</c:v>
                </c:pt>
                <c:pt idx="26">
                  <c:v>4.7782085763980877</c:v>
                </c:pt>
                <c:pt idx="27">
                  <c:v>5.1679198655519354</c:v>
                </c:pt>
                <c:pt idx="28">
                  <c:v>5.4867143730307024</c:v>
                </c:pt>
                <c:pt idx="29">
                  <c:v>5.8889867211865576</c:v>
                </c:pt>
                <c:pt idx="30">
                  <c:v>6.2414588712746513</c:v>
                </c:pt>
                <c:pt idx="31">
                  <c:v>6.6049608695037785</c:v>
                </c:pt>
                <c:pt idx="32">
                  <c:v>6.883742990570445</c:v>
                </c:pt>
                <c:pt idx="33">
                  <c:v>7.2662243421916299</c:v>
                </c:pt>
                <c:pt idx="34">
                  <c:v>7.7260818889022405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1-7C45-A02D-0C4A7D8A0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857456"/>
        <c:axId val="1977342944"/>
      </c:lineChart>
      <c:catAx>
        <c:axId val="1976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342944"/>
        <c:crosses val="autoZero"/>
        <c:auto val="1"/>
        <c:lblAlgn val="ctr"/>
        <c:lblOffset val="100"/>
        <c:noMultiLvlLbl val="0"/>
      </c:catAx>
      <c:valAx>
        <c:axId val="19773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8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SimPnjBKZ!$L$4</c:f>
              <c:strCache>
                <c:ptCount val="1"/>
                <c:pt idx="0">
                  <c:v>log2(SimPnjBKZCost[1:f+xf])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SimPnjBKZ!$E$5:$E$39</c:f>
              <c:numCache>
                <c:formatCode>General</c:formatCode>
                <c:ptCount val="3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84</c:v>
                </c:pt>
                <c:pt idx="27">
                  <c:v>86</c:v>
                </c:pt>
                <c:pt idx="28">
                  <c:v>88</c:v>
                </c:pt>
                <c:pt idx="29">
                  <c:v>90</c:v>
                </c:pt>
                <c:pt idx="30">
                  <c:v>92</c:v>
                </c:pt>
                <c:pt idx="31">
                  <c:v>94</c:v>
                </c:pt>
                <c:pt idx="32">
                  <c:v>95</c:v>
                </c:pt>
                <c:pt idx="33">
                  <c:v>97</c:v>
                </c:pt>
                <c:pt idx="34">
                  <c:v>99</c:v>
                </c:pt>
              </c:numCache>
            </c:numRef>
          </c:cat>
          <c:val>
            <c:numRef>
              <c:f>SimPnjBKZ!$L$5:$L$39</c:f>
              <c:numCache>
                <c:formatCode>General</c:formatCode>
                <c:ptCount val="35"/>
                <c:pt idx="0">
                  <c:v>5.436961337833603</c:v>
                </c:pt>
                <c:pt idx="1">
                  <c:v>5.5744043090225794</c:v>
                </c:pt>
                <c:pt idx="2">
                  <c:v>5.7103931921705167</c:v>
                </c:pt>
                <c:pt idx="3">
                  <c:v>5.7636771418965997</c:v>
                </c:pt>
                <c:pt idx="4">
                  <c:v>5.881664619320345</c:v>
                </c:pt>
                <c:pt idx="5">
                  <c:v>6.0098845889318451</c:v>
                </c:pt>
                <c:pt idx="6">
                  <c:v>6.1187334757678453</c:v>
                </c:pt>
                <c:pt idx="7">
                  <c:v>6.2154844641927953</c:v>
                </c:pt>
                <c:pt idx="8">
                  <c:v>6.3081569751147617</c:v>
                </c:pt>
                <c:pt idx="9">
                  <c:v>6.4322913382477802</c:v>
                </c:pt>
                <c:pt idx="10">
                  <c:v>6.4623795718410237</c:v>
                </c:pt>
                <c:pt idx="11">
                  <c:v>6.5753123306874377</c:v>
                </c:pt>
                <c:pt idx="12">
                  <c:v>6.7029345319759779</c:v>
                </c:pt>
                <c:pt idx="13">
                  <c:v>6.7754456741028593</c:v>
                </c:pt>
                <c:pt idx="14">
                  <c:v>6.9296726615793443</c:v>
                </c:pt>
                <c:pt idx="15">
                  <c:v>7.048432380232641</c:v>
                </c:pt>
                <c:pt idx="16">
                  <c:v>7.611910067354084</c:v>
                </c:pt>
                <c:pt idx="17">
                  <c:v>7.7869883453304931</c:v>
                </c:pt>
                <c:pt idx="18">
                  <c:v>7.9026162972576648</c:v>
                </c:pt>
                <c:pt idx="19">
                  <c:v>8.0171981525831004</c:v>
                </c:pt>
                <c:pt idx="20">
                  <c:v>8.1528425427738878</c:v>
                </c:pt>
                <c:pt idx="21">
                  <c:v>8.2539892662307857</c:v>
                </c:pt>
                <c:pt idx="22">
                  <c:v>8.4222750562454678</c:v>
                </c:pt>
                <c:pt idx="23">
                  <c:v>8.5696657675462955</c:v>
                </c:pt>
                <c:pt idx="24">
                  <c:v>8.7400168212017704</c:v>
                </c:pt>
                <c:pt idx="25">
                  <c:v>8.8699947503440679</c:v>
                </c:pt>
                <c:pt idx="26">
                  <c:v>9.0845160995338361</c:v>
                </c:pt>
                <c:pt idx="27">
                  <c:v>9.3270136378639847</c:v>
                </c:pt>
                <c:pt idx="28">
                  <c:v>9.56128794516483</c:v>
                </c:pt>
                <c:pt idx="29">
                  <c:v>9.8565033417935268</c:v>
                </c:pt>
                <c:pt idx="30">
                  <c:v>10.181897643108389</c:v>
                </c:pt>
                <c:pt idx="31">
                  <c:v>10.51879082961252</c:v>
                </c:pt>
                <c:pt idx="32">
                  <c:v>10.831528936214404</c:v>
                </c:pt>
                <c:pt idx="33">
                  <c:v>11.257281758274729</c:v>
                </c:pt>
                <c:pt idx="34">
                  <c:v>11.579235785629058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6-5044-BB4F-003374208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857456"/>
        <c:axId val="1977342944"/>
      </c:lineChart>
      <c:catAx>
        <c:axId val="1976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342944"/>
        <c:crosses val="autoZero"/>
        <c:auto val="1"/>
        <c:lblAlgn val="ctr"/>
        <c:lblOffset val="100"/>
        <c:noMultiLvlLbl val="0"/>
      </c:catAx>
      <c:valAx>
        <c:axId val="19773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8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SimPnjBKZ!$N$4</c:f>
              <c:strCache>
                <c:ptCount val="1"/>
                <c:pt idx="0">
                  <c:v>log2(SimPnjBKZCost[d-β-xf+1:d])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SimPnjBKZ!$E$5:$E$39</c:f>
              <c:numCache>
                <c:formatCode>General</c:formatCode>
                <c:ptCount val="35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  <c:pt idx="4">
                  <c:v>50</c:v>
                </c:pt>
                <c:pt idx="5">
                  <c:v>51</c:v>
                </c:pt>
                <c:pt idx="6">
                  <c:v>52</c:v>
                </c:pt>
                <c:pt idx="7">
                  <c:v>53</c:v>
                </c:pt>
                <c:pt idx="8">
                  <c:v>54</c:v>
                </c:pt>
                <c:pt idx="9">
                  <c:v>55</c:v>
                </c:pt>
                <c:pt idx="10">
                  <c:v>56</c:v>
                </c:pt>
                <c:pt idx="11">
                  <c:v>57</c:v>
                </c:pt>
                <c:pt idx="12">
                  <c:v>58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66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81</c:v>
                </c:pt>
                <c:pt idx="25">
                  <c:v>82</c:v>
                </c:pt>
                <c:pt idx="26">
                  <c:v>84</c:v>
                </c:pt>
                <c:pt idx="27">
                  <c:v>86</c:v>
                </c:pt>
                <c:pt idx="28">
                  <c:v>88</c:v>
                </c:pt>
                <c:pt idx="29">
                  <c:v>90</c:v>
                </c:pt>
                <c:pt idx="30">
                  <c:v>92</c:v>
                </c:pt>
                <c:pt idx="31">
                  <c:v>94</c:v>
                </c:pt>
                <c:pt idx="32">
                  <c:v>95</c:v>
                </c:pt>
                <c:pt idx="33">
                  <c:v>97</c:v>
                </c:pt>
                <c:pt idx="34">
                  <c:v>99</c:v>
                </c:pt>
              </c:numCache>
            </c:numRef>
          </c:cat>
          <c:val>
            <c:numRef>
              <c:f>SimPnjBKZ!$N$5:$N$39</c:f>
              <c:numCache>
                <c:formatCode>General</c:formatCode>
                <c:ptCount val="35"/>
                <c:pt idx="0">
                  <c:v>5.6766623348579666</c:v>
                </c:pt>
                <c:pt idx="1">
                  <c:v>5.9295543157328501</c:v>
                </c:pt>
                <c:pt idx="2">
                  <c:v>6.0533285934497911</c:v>
                </c:pt>
                <c:pt idx="3">
                  <c:v>6.0838515876979606</c:v>
                </c:pt>
                <c:pt idx="4">
                  <c:v>6.2230363379018749</c:v>
                </c:pt>
                <c:pt idx="5">
                  <c:v>6.3307376502069523</c:v>
                </c:pt>
                <c:pt idx="6">
                  <c:v>6.478324711485028</c:v>
                </c:pt>
                <c:pt idx="7">
                  <c:v>6.5341861390900968</c:v>
                </c:pt>
                <c:pt idx="8">
                  <c:v>6.7139706924360523</c:v>
                </c:pt>
                <c:pt idx="9">
                  <c:v>6.7329475083394144</c:v>
                </c:pt>
                <c:pt idx="10">
                  <c:v>6.8008998999203047</c:v>
                </c:pt>
                <c:pt idx="11">
                  <c:v>7.018367115543116</c:v>
                </c:pt>
                <c:pt idx="12">
                  <c:v>7.0431913722767954</c:v>
                </c:pt>
                <c:pt idx="13">
                  <c:v>7.1527918516391198</c:v>
                </c:pt>
                <c:pt idx="14">
                  <c:v>7.2805852025644722</c:v>
                </c:pt>
                <c:pt idx="15">
                  <c:v>7.312610722989767</c:v>
                </c:pt>
                <c:pt idx="16">
                  <c:v>7.882887553224962</c:v>
                </c:pt>
                <c:pt idx="17">
                  <c:v>7.9769363837814495</c:v>
                </c:pt>
                <c:pt idx="18">
                  <c:v>8.0953970227925574</c:v>
                </c:pt>
                <c:pt idx="19">
                  <c:v>8.2486866268738286</c:v>
                </c:pt>
                <c:pt idx="20">
                  <c:v>8.3538084604745446</c:v>
                </c:pt>
                <c:pt idx="21">
                  <c:v>8.4932550351206686</c:v>
                </c:pt>
                <c:pt idx="22">
                  <c:v>8.6041454734409779</c:v>
                </c:pt>
                <c:pt idx="23">
                  <c:v>8.6873406873783043</c:v>
                </c:pt>
                <c:pt idx="24">
                  <c:v>8.8856048675807742</c:v>
                </c:pt>
                <c:pt idx="25">
                  <c:v>9.0114509117357535</c:v>
                </c:pt>
                <c:pt idx="26">
                  <c:v>9.1733273496509877</c:v>
                </c:pt>
                <c:pt idx="27">
                  <c:v>9.4115745414598422</c:v>
                </c:pt>
                <c:pt idx="28">
                  <c:v>9.597195936615897</c:v>
                </c:pt>
                <c:pt idx="29">
                  <c:v>9.9135028001465333</c:v>
                </c:pt>
                <c:pt idx="30">
                  <c:v>10.153539365322036</c:v>
                </c:pt>
                <c:pt idx="31">
                  <c:v>10.55141027251171</c:v>
                </c:pt>
                <c:pt idx="32">
                  <c:v>10.715687491840029</c:v>
                </c:pt>
                <c:pt idx="33">
                  <c:v>11.176578343616793</c:v>
                </c:pt>
                <c:pt idx="34">
                  <c:v>11.561488438154447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6-A645-AFD3-F0A758AA8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857456"/>
        <c:axId val="1977342944"/>
      </c:lineChart>
      <c:catAx>
        <c:axId val="19768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7342944"/>
        <c:crosses val="autoZero"/>
        <c:auto val="1"/>
        <c:lblAlgn val="ctr"/>
        <c:lblOffset val="100"/>
        <c:noMultiLvlLbl val="0"/>
      </c:catAx>
      <c:valAx>
        <c:axId val="19773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68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56030</xdr:colOff>
      <xdr:row>6</xdr:row>
      <xdr:rowOff>18675</xdr:rowOff>
    </xdr:from>
    <xdr:to>
      <xdr:col>17</xdr:col>
      <xdr:colOff>1347695</xdr:colOff>
      <xdr:row>32</xdr:row>
      <xdr:rowOff>62605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F77B4A34-EBFA-EA9C-3A24-77E85DB8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6471" y="1830293"/>
          <a:ext cx="7772400" cy="4899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590550</xdr:colOff>
      <xdr:row>3</xdr:row>
      <xdr:rowOff>158750</xdr:rowOff>
    </xdr:from>
    <xdr:to>
      <xdr:col>22</xdr:col>
      <xdr:colOff>673100</xdr:colOff>
      <xdr:row>26</xdr:row>
      <xdr:rowOff>101600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73231FF-F4FB-0477-4F84-61861411A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152400</xdr:colOff>
      <xdr:row>3</xdr:row>
      <xdr:rowOff>152400</xdr:rowOff>
    </xdr:from>
    <xdr:to>
      <xdr:col>30</xdr:col>
      <xdr:colOff>234950</xdr:colOff>
      <xdr:row>26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65C3BC2-7426-C249-B1D1-B7BC7073F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127000</xdr:colOff>
      <xdr:row>4</xdr:row>
      <xdr:rowOff>0</xdr:rowOff>
    </xdr:from>
    <xdr:to>
      <xdr:col>38</xdr:col>
      <xdr:colOff>209550</xdr:colOff>
      <xdr:row>26</xdr:row>
      <xdr:rowOff>120650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AB13390-9407-8043-902A-942864848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139700</xdr:colOff>
      <xdr:row>28</xdr:row>
      <xdr:rowOff>127000</xdr:rowOff>
    </xdr:from>
    <xdr:to>
      <xdr:col>30</xdr:col>
      <xdr:colOff>222250</xdr:colOff>
      <xdr:row>51</xdr:row>
      <xdr:rowOff>69850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71F08C7-4783-0141-BF62-CC2DD8A0B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165100</xdr:colOff>
      <xdr:row>28</xdr:row>
      <xdr:rowOff>152400</xdr:rowOff>
    </xdr:from>
    <xdr:to>
      <xdr:col>38</xdr:col>
      <xdr:colOff>247650</xdr:colOff>
      <xdr:row>51</xdr:row>
      <xdr:rowOff>95250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B1B8B8D-E353-7A48-8B40-8324C7226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186267</xdr:colOff>
      <xdr:row>53</xdr:row>
      <xdr:rowOff>169333</xdr:rowOff>
    </xdr:from>
    <xdr:to>
      <xdr:col>38</xdr:col>
      <xdr:colOff>268817</xdr:colOff>
      <xdr:row>76</xdr:row>
      <xdr:rowOff>112182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AF0E6B74-9FFA-1642-9C42-DF35CF957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169333</xdr:colOff>
      <xdr:row>82</xdr:row>
      <xdr:rowOff>0</xdr:rowOff>
    </xdr:from>
    <xdr:to>
      <xdr:col>38</xdr:col>
      <xdr:colOff>251883</xdr:colOff>
      <xdr:row>104</xdr:row>
      <xdr:rowOff>129117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44FC6EA0-869C-B64D-8CC5-8CABDFF9C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664129</xdr:colOff>
      <xdr:row>8</xdr:row>
      <xdr:rowOff>128166</xdr:rowOff>
    </xdr:from>
    <xdr:to>
      <xdr:col>23</xdr:col>
      <xdr:colOff>327171</xdr:colOff>
      <xdr:row>25</xdr:row>
      <xdr:rowOff>158601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3C0428F-846D-C1D9-E8E5-B569554BE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3487" y="2400184"/>
          <a:ext cx="7772400" cy="3001536"/>
        </a:xfrm>
        <a:prstGeom prst="rect">
          <a:avLst/>
        </a:prstGeom>
      </xdr:spPr>
    </xdr:pic>
    <xdr:clientData/>
  </xdr:twoCellAnchor>
  <xdr:oneCellAnchor>
    <xdr:from>
      <xdr:col>19</xdr:col>
      <xdr:colOff>203200</xdr:colOff>
      <xdr:row>11</xdr:row>
      <xdr:rowOff>152400</xdr:rowOff>
    </xdr:from>
    <xdr:ext cx="621067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3B039C9A-9501-FA87-DB40-FD2817B87057}"/>
            </a:ext>
          </a:extLst>
        </xdr:cNvPr>
        <xdr:cNvSpPr txBox="1"/>
      </xdr:nvSpPr>
      <xdr:spPr>
        <a:xfrm>
          <a:off x="12407900" y="2984500"/>
          <a:ext cx="621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jump=1</a:t>
          </a:r>
          <a:endParaRPr lang="zh-CN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8</xdr:row>
      <xdr:rowOff>139700</xdr:rowOff>
    </xdr:from>
    <xdr:to>
      <xdr:col>23</xdr:col>
      <xdr:colOff>444501</xdr:colOff>
      <xdr:row>25</xdr:row>
      <xdr:rowOff>64161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95391BC-57D9-D9E4-492A-8A8C0F04A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74500" y="3022600"/>
          <a:ext cx="7772400" cy="2947061"/>
        </a:xfrm>
        <a:prstGeom prst="rect">
          <a:avLst/>
        </a:prstGeom>
      </xdr:spPr>
    </xdr:pic>
    <xdr:clientData/>
  </xdr:twoCellAnchor>
  <xdr:oneCellAnchor>
    <xdr:from>
      <xdr:col>20</xdr:col>
      <xdr:colOff>279400</xdr:colOff>
      <xdr:row>12</xdr:row>
      <xdr:rowOff>88900</xdr:rowOff>
    </xdr:from>
    <xdr:ext cx="621067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BCF23735-99F9-D34F-B293-55B6EAA80CE5}"/>
            </a:ext>
          </a:extLst>
        </xdr:cNvPr>
        <xdr:cNvSpPr txBox="1"/>
      </xdr:nvSpPr>
      <xdr:spPr>
        <a:xfrm>
          <a:off x="18021300" y="3302000"/>
          <a:ext cx="621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100"/>
            <a:t>jump=1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45"/>
  <sheetViews>
    <sheetView topLeftCell="G12" zoomScale="136" workbookViewId="0">
      <selection activeCell="H36" sqref="H36"/>
    </sheetView>
  </sheetViews>
  <sheetFormatPr baseColWidth="10" defaultColWidth="8.83203125" defaultRowHeight="14"/>
  <cols>
    <col min="3" max="3" width="14.5" customWidth="1"/>
    <col min="4" max="4" width="15.33203125" customWidth="1"/>
    <col min="5" max="5" width="22.33203125" customWidth="1"/>
    <col min="6" max="7" width="13.83203125" customWidth="1"/>
    <col min="8" max="8" width="12.83203125" customWidth="1"/>
    <col min="17" max="17" width="32.1640625" customWidth="1"/>
    <col min="18" max="18" width="23.5" customWidth="1"/>
    <col min="20" max="20" width="23.83203125" customWidth="1"/>
  </cols>
  <sheetData>
    <row r="2" spans="3:14">
      <c r="C2" s="6" t="s">
        <v>7</v>
      </c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3:14" ht="69" customHeight="1"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3:14">
      <c r="C4" t="s">
        <v>1</v>
      </c>
      <c r="D4" t="s">
        <v>2</v>
      </c>
      <c r="E4" t="s">
        <v>0</v>
      </c>
      <c r="F4" t="s">
        <v>3</v>
      </c>
      <c r="G4" t="s">
        <v>5</v>
      </c>
      <c r="H4" t="s">
        <v>4</v>
      </c>
    </row>
    <row r="5" spans="3:14">
      <c r="C5">
        <v>0</v>
      </c>
      <c r="D5">
        <v>180</v>
      </c>
      <c r="E5">
        <v>51</v>
      </c>
      <c r="F5">
        <v>9.8800000000000008</v>
      </c>
      <c r="G5">
        <f>LOG(F5,2)</f>
        <v>3.304511041809953</v>
      </c>
    </row>
    <row r="6" spans="3:14">
      <c r="C6">
        <v>0</v>
      </c>
      <c r="D6">
        <v>180</v>
      </c>
      <c r="E6">
        <v>53</v>
      </c>
      <c r="F6">
        <v>9.8800000000000008</v>
      </c>
      <c r="G6">
        <f t="shared" ref="G6:G44" si="0">LOG(F6,2)</f>
        <v>3.304511041809953</v>
      </c>
    </row>
    <row r="7" spans="3:14">
      <c r="C7">
        <v>0</v>
      </c>
      <c r="D7">
        <v>180</v>
      </c>
      <c r="E7">
        <v>55</v>
      </c>
      <c r="F7">
        <v>10.119999999999999</v>
      </c>
      <c r="G7">
        <f t="shared" si="0"/>
        <v>3.3391373849195851</v>
      </c>
    </row>
    <row r="8" spans="3:14">
      <c r="C8">
        <v>0</v>
      </c>
      <c r="D8">
        <v>180</v>
      </c>
      <c r="E8">
        <v>57</v>
      </c>
      <c r="F8">
        <v>10.67</v>
      </c>
      <c r="G8">
        <f t="shared" si="0"/>
        <v>3.4154882710497008</v>
      </c>
    </row>
    <row r="9" spans="3:14">
      <c r="C9">
        <v>0</v>
      </c>
      <c r="D9">
        <v>180</v>
      </c>
      <c r="E9">
        <v>59</v>
      </c>
      <c r="F9">
        <v>11.69</v>
      </c>
      <c r="G9">
        <f t="shared" si="0"/>
        <v>3.5472030247569317</v>
      </c>
    </row>
    <row r="10" spans="3:14">
      <c r="C10">
        <v>0</v>
      </c>
      <c r="D10">
        <v>180</v>
      </c>
      <c r="E10">
        <v>61</v>
      </c>
      <c r="F10">
        <v>12.49</v>
      </c>
      <c r="G10">
        <f t="shared" si="0"/>
        <v>3.6427015718332325</v>
      </c>
    </row>
    <row r="11" spans="3:14">
      <c r="C11">
        <v>0</v>
      </c>
      <c r="D11">
        <v>180</v>
      </c>
      <c r="E11">
        <v>63</v>
      </c>
      <c r="F11">
        <v>13.49</v>
      </c>
      <c r="G11">
        <f t="shared" si="0"/>
        <v>3.7538184431735426</v>
      </c>
    </row>
    <row r="12" spans="3:14">
      <c r="C12">
        <v>0</v>
      </c>
      <c r="D12">
        <v>180</v>
      </c>
      <c r="E12">
        <v>65</v>
      </c>
      <c r="F12">
        <v>17.27</v>
      </c>
      <c r="G12">
        <f t="shared" si="0"/>
        <v>4.1101961777541991</v>
      </c>
    </row>
    <row r="13" spans="3:14">
      <c r="C13">
        <v>0</v>
      </c>
      <c r="D13">
        <v>180</v>
      </c>
      <c r="E13">
        <v>67</v>
      </c>
      <c r="F13">
        <v>19.36</v>
      </c>
      <c r="G13">
        <f t="shared" si="0"/>
        <v>4.2750070474998703</v>
      </c>
    </row>
    <row r="14" spans="3:14">
      <c r="C14">
        <v>0</v>
      </c>
      <c r="D14">
        <v>180</v>
      </c>
      <c r="E14">
        <v>69</v>
      </c>
      <c r="F14">
        <v>22.24</v>
      </c>
      <c r="G14">
        <f t="shared" si="0"/>
        <v>4.4750848829487833</v>
      </c>
    </row>
    <row r="15" spans="3:14">
      <c r="C15">
        <v>0</v>
      </c>
      <c r="D15">
        <v>180</v>
      </c>
      <c r="E15">
        <v>71</v>
      </c>
      <c r="F15">
        <v>23.47</v>
      </c>
      <c r="G15">
        <f t="shared" si="0"/>
        <v>4.5527459367484457</v>
      </c>
    </row>
    <row r="16" spans="3:14">
      <c r="C16">
        <v>0</v>
      </c>
      <c r="D16">
        <v>180</v>
      </c>
      <c r="E16">
        <v>73</v>
      </c>
      <c r="F16">
        <v>24.57</v>
      </c>
      <c r="G16">
        <f t="shared" si="0"/>
        <v>4.6188259525874402</v>
      </c>
    </row>
    <row r="17" spans="3:7">
      <c r="C17">
        <v>0</v>
      </c>
      <c r="D17">
        <v>180</v>
      </c>
      <c r="E17">
        <v>75</v>
      </c>
      <c r="F17">
        <v>26.41</v>
      </c>
      <c r="G17">
        <f t="shared" si="0"/>
        <v>4.7230123963923685</v>
      </c>
    </row>
    <row r="18" spans="3:7">
      <c r="C18">
        <v>0</v>
      </c>
      <c r="D18">
        <v>180</v>
      </c>
      <c r="E18">
        <v>77</v>
      </c>
      <c r="F18">
        <v>27.8</v>
      </c>
      <c r="G18">
        <f t="shared" si="0"/>
        <v>4.797012977836145</v>
      </c>
    </row>
    <row r="19" spans="3:7">
      <c r="C19">
        <v>0</v>
      </c>
      <c r="D19">
        <v>180</v>
      </c>
      <c r="E19">
        <v>79</v>
      </c>
      <c r="F19">
        <v>29.55</v>
      </c>
      <c r="G19">
        <f t="shared" si="0"/>
        <v>4.8850862252901699</v>
      </c>
    </row>
    <row r="20" spans="3:7">
      <c r="C20">
        <v>0</v>
      </c>
      <c r="D20">
        <v>180</v>
      </c>
      <c r="E20">
        <v>81</v>
      </c>
      <c r="F20">
        <v>32.72</v>
      </c>
      <c r="G20">
        <f t="shared" si="0"/>
        <v>5.032100843167024</v>
      </c>
    </row>
    <row r="21" spans="3:7">
      <c r="C21">
        <v>0</v>
      </c>
      <c r="D21">
        <v>180</v>
      </c>
      <c r="E21">
        <v>83</v>
      </c>
      <c r="F21">
        <v>35.840000000000003</v>
      </c>
      <c r="G21">
        <f t="shared" si="0"/>
        <v>5.1634987322828794</v>
      </c>
    </row>
    <row r="22" spans="3:7">
      <c r="C22">
        <v>0</v>
      </c>
      <c r="D22">
        <v>180</v>
      </c>
      <c r="E22">
        <v>85</v>
      </c>
      <c r="F22">
        <v>41.2</v>
      </c>
      <c r="G22">
        <f t="shared" si="0"/>
        <v>5.3645724322958559</v>
      </c>
    </row>
    <row r="23" spans="3:7">
      <c r="C23">
        <v>0</v>
      </c>
      <c r="D23">
        <v>180</v>
      </c>
      <c r="E23">
        <v>87</v>
      </c>
      <c r="F23">
        <v>51.97</v>
      </c>
      <c r="G23">
        <f t="shared" si="0"/>
        <v>5.6996071538931776</v>
      </c>
    </row>
    <row r="24" spans="3:7">
      <c r="C24">
        <v>0</v>
      </c>
      <c r="D24">
        <v>180</v>
      </c>
      <c r="E24">
        <v>89</v>
      </c>
      <c r="F24">
        <v>62.98</v>
      </c>
      <c r="G24">
        <f t="shared" si="0"/>
        <v>5.9768218523606853</v>
      </c>
    </row>
    <row r="25" spans="3:7">
      <c r="C25">
        <v>0</v>
      </c>
      <c r="D25">
        <v>180</v>
      </c>
      <c r="E25">
        <v>91</v>
      </c>
      <c r="F25">
        <v>80.67</v>
      </c>
      <c r="G25">
        <f t="shared" si="0"/>
        <v>6.3339603508193045</v>
      </c>
    </row>
    <row r="26" spans="3:7">
      <c r="C26">
        <v>0</v>
      </c>
      <c r="D26">
        <v>180</v>
      </c>
      <c r="E26">
        <v>93</v>
      </c>
      <c r="F26">
        <v>105.62</v>
      </c>
      <c r="G26">
        <f t="shared" si="0"/>
        <v>6.7227392362967144</v>
      </c>
    </row>
    <row r="27" spans="3:7">
      <c r="C27">
        <v>0</v>
      </c>
      <c r="D27">
        <v>180</v>
      </c>
      <c r="E27">
        <v>95</v>
      </c>
      <c r="F27">
        <v>132.27000000000001</v>
      </c>
      <c r="G27">
        <f t="shared" si="0"/>
        <v>7.0473420725621789</v>
      </c>
    </row>
    <row r="28" spans="3:7">
      <c r="C28">
        <v>0</v>
      </c>
      <c r="D28">
        <v>180</v>
      </c>
      <c r="E28">
        <v>97</v>
      </c>
      <c r="F28">
        <v>175.06</v>
      </c>
      <c r="G28">
        <f t="shared" si="0"/>
        <v>7.4517056653563021</v>
      </c>
    </row>
    <row r="29" spans="3:7">
      <c r="C29">
        <v>0</v>
      </c>
      <c r="D29">
        <v>180</v>
      </c>
      <c r="E29">
        <v>99</v>
      </c>
      <c r="F29">
        <v>230.55</v>
      </c>
      <c r="G29">
        <f t="shared" si="0"/>
        <v>7.8489358555245659</v>
      </c>
    </row>
    <row r="30" spans="3:7">
      <c r="C30">
        <v>0</v>
      </c>
      <c r="D30">
        <v>180</v>
      </c>
      <c r="E30">
        <v>101</v>
      </c>
      <c r="F30">
        <v>304.18</v>
      </c>
      <c r="G30">
        <f t="shared" si="0"/>
        <v>8.2487814879739645</v>
      </c>
    </row>
    <row r="31" spans="3:7">
      <c r="C31">
        <v>0</v>
      </c>
      <c r="D31">
        <v>180</v>
      </c>
      <c r="E31">
        <v>103</v>
      </c>
      <c r="F31">
        <v>405.91</v>
      </c>
      <c r="G31">
        <f t="shared" si="0"/>
        <v>8.6650160724875818</v>
      </c>
    </row>
    <row r="32" spans="3:7">
      <c r="C32">
        <v>0</v>
      </c>
      <c r="D32">
        <v>180</v>
      </c>
      <c r="E32">
        <v>105</v>
      </c>
      <c r="F32">
        <v>554.64</v>
      </c>
      <c r="G32">
        <f t="shared" si="0"/>
        <v>9.1154078554140625</v>
      </c>
    </row>
    <row r="33" spans="3:17">
      <c r="C33">
        <v>0</v>
      </c>
      <c r="D33">
        <v>180</v>
      </c>
      <c r="E33">
        <v>107</v>
      </c>
      <c r="F33">
        <v>739</v>
      </c>
      <c r="G33">
        <f t="shared" si="0"/>
        <v>9.5294305541461508</v>
      </c>
    </row>
    <row r="34" spans="3:17">
      <c r="C34">
        <v>0</v>
      </c>
      <c r="D34">
        <v>180</v>
      </c>
      <c r="E34">
        <v>109</v>
      </c>
      <c r="F34">
        <v>1012.55</v>
      </c>
      <c r="G34">
        <f t="shared" si="0"/>
        <v>9.9837774350998423</v>
      </c>
    </row>
    <row r="35" spans="3:17">
      <c r="C35" s="1">
        <v>0</v>
      </c>
      <c r="D35" s="1">
        <v>180</v>
      </c>
      <c r="E35" s="1">
        <v>111</v>
      </c>
      <c r="F35" s="1">
        <v>1407.37</v>
      </c>
      <c r="G35" s="1">
        <f t="shared" si="0"/>
        <v>10.458785950117047</v>
      </c>
    </row>
    <row r="36" spans="3:17">
      <c r="C36" s="1">
        <v>0</v>
      </c>
      <c r="D36" s="1">
        <v>180</v>
      </c>
      <c r="E36" s="1">
        <v>113</v>
      </c>
      <c r="F36" s="1">
        <v>1908.88</v>
      </c>
      <c r="G36" s="1">
        <f t="shared" si="0"/>
        <v>10.898510696546728</v>
      </c>
    </row>
    <row r="37" spans="3:17">
      <c r="C37" s="1">
        <v>0</v>
      </c>
      <c r="D37" s="1">
        <v>180</v>
      </c>
      <c r="E37" s="1">
        <v>115</v>
      </c>
      <c r="F37" s="1">
        <v>2720.43</v>
      </c>
      <c r="G37" s="1">
        <f t="shared" si="0"/>
        <v>11.409618991224846</v>
      </c>
    </row>
    <row r="38" spans="3:17">
      <c r="C38" s="1">
        <v>0</v>
      </c>
      <c r="D38" s="1">
        <v>180</v>
      </c>
      <c r="E38" s="1">
        <v>117</v>
      </c>
      <c r="F38" s="1">
        <v>3912.69</v>
      </c>
      <c r="G38" s="1">
        <f t="shared" si="0"/>
        <v>11.933945095596091</v>
      </c>
    </row>
    <row r="39" spans="3:17">
      <c r="C39" s="1">
        <v>0</v>
      </c>
      <c r="D39" s="1">
        <v>180</v>
      </c>
      <c r="E39" s="1">
        <v>119</v>
      </c>
      <c r="F39" s="1">
        <v>5580.1</v>
      </c>
      <c r="G39" s="1">
        <f t="shared" si="0"/>
        <v>12.446075261234718</v>
      </c>
      <c r="H39" s="1"/>
    </row>
    <row r="40" spans="3:17">
      <c r="C40" s="1">
        <v>0</v>
      </c>
      <c r="D40" s="1">
        <v>180</v>
      </c>
      <c r="E40" s="1">
        <v>121</v>
      </c>
      <c r="F40" s="1">
        <v>8352.5</v>
      </c>
      <c r="G40" s="1">
        <f t="shared" si="0"/>
        <v>13.027992362222333</v>
      </c>
    </row>
    <row r="41" spans="3:17">
      <c r="C41" s="1">
        <v>0</v>
      </c>
      <c r="D41" s="1">
        <v>180</v>
      </c>
      <c r="E41" s="1">
        <v>123</v>
      </c>
      <c r="F41" s="1">
        <v>12011.37</v>
      </c>
      <c r="G41" s="1">
        <f t="shared" si="0"/>
        <v>13.552113091749016</v>
      </c>
      <c r="H41">
        <v>46.85</v>
      </c>
      <c r="I41">
        <f t="shared" ref="I41:I44" si="1">0.277686*E41-20.507189</f>
        <v>13.648188999999999</v>
      </c>
    </row>
    <row r="42" spans="3:17">
      <c r="C42" s="1">
        <v>0</v>
      </c>
      <c r="D42" s="1">
        <v>180</v>
      </c>
      <c r="E42" s="1">
        <v>125</v>
      </c>
      <c r="F42" s="1">
        <v>18268.810000000001</v>
      </c>
      <c r="G42" s="1">
        <f t="shared" si="0"/>
        <v>14.157095041811928</v>
      </c>
      <c r="H42">
        <v>61.45</v>
      </c>
      <c r="I42">
        <f t="shared" si="1"/>
        <v>14.203560999999997</v>
      </c>
      <c r="J42" t="s">
        <v>6</v>
      </c>
      <c r="K42" t="s">
        <v>6</v>
      </c>
      <c r="M42" t="s">
        <v>6</v>
      </c>
      <c r="N42" t="s">
        <v>6</v>
      </c>
      <c r="O42" t="s">
        <v>6</v>
      </c>
      <c r="Q42" t="s">
        <v>6</v>
      </c>
    </row>
    <row r="43" spans="3:17">
      <c r="C43" s="1">
        <v>0</v>
      </c>
      <c r="D43" s="1">
        <v>180</v>
      </c>
      <c r="E43" s="1">
        <v>127</v>
      </c>
      <c r="F43" s="1">
        <v>27732.16</v>
      </c>
      <c r="G43" s="1">
        <f t="shared" si="0"/>
        <v>14.759272368805572</v>
      </c>
      <c r="H43">
        <v>79.180000000000007</v>
      </c>
      <c r="I43">
        <f t="shared" si="1"/>
        <v>14.758932999999995</v>
      </c>
      <c r="J43" t="s">
        <v>6</v>
      </c>
      <c r="K43" t="s">
        <v>6</v>
      </c>
      <c r="M43" t="s">
        <v>6</v>
      </c>
      <c r="O43" t="s">
        <v>6</v>
      </c>
      <c r="Q43" t="s">
        <v>6</v>
      </c>
    </row>
    <row r="44" spans="3:17">
      <c r="C44" s="1">
        <v>0</v>
      </c>
      <c r="D44" s="1">
        <v>180</v>
      </c>
      <c r="E44" s="1">
        <v>129</v>
      </c>
      <c r="F44" s="1">
        <v>46577.71</v>
      </c>
      <c r="G44" s="1">
        <f t="shared" si="0"/>
        <v>15.507352090526792</v>
      </c>
      <c r="H44">
        <v>128.04</v>
      </c>
      <c r="I44">
        <f t="shared" si="1"/>
        <v>15.314305000000001</v>
      </c>
    </row>
    <row r="45" spans="3:17">
      <c r="C45" s="1">
        <v>0</v>
      </c>
      <c r="D45" s="1">
        <v>180</v>
      </c>
      <c r="E45" s="1">
        <v>131</v>
      </c>
      <c r="F45">
        <v>80792.87</v>
      </c>
      <c r="G45" s="1">
        <f>LOG(F45,2)</f>
        <v>16.301940359784957</v>
      </c>
      <c r="H45">
        <v>167.12</v>
      </c>
      <c r="I45">
        <f>0.277686*E45-20.507189</f>
        <v>15.869676999999999</v>
      </c>
    </row>
  </sheetData>
  <mergeCells count="1">
    <mergeCell ref="C2:N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9816-38A7-BA4D-AED9-1DE726A334ED}">
  <dimension ref="D4:N39"/>
  <sheetViews>
    <sheetView tabSelected="1" topLeftCell="B1" zoomScale="75" workbookViewId="0">
      <selection activeCell="J41" sqref="J41"/>
    </sheetView>
  </sheetViews>
  <sheetFormatPr baseColWidth="10" defaultRowHeight="14"/>
  <cols>
    <col min="4" max="4" width="11" bestFit="1" customWidth="1"/>
    <col min="5" max="5" width="11" customWidth="1"/>
    <col min="6" max="7" width="17.5" bestFit="1" customWidth="1"/>
    <col min="8" max="8" width="22.5" customWidth="1"/>
    <col min="9" max="9" width="18.6640625" bestFit="1" customWidth="1"/>
    <col min="10" max="10" width="25.6640625" customWidth="1"/>
    <col min="11" max="11" width="24.1640625" bestFit="1" customWidth="1"/>
    <col min="12" max="12" width="31.5" customWidth="1"/>
    <col min="13" max="13" width="27.33203125" bestFit="1" customWidth="1"/>
    <col min="14" max="14" width="35.33203125" customWidth="1"/>
  </cols>
  <sheetData>
    <row r="4" spans="4:14">
      <c r="D4" s="18" t="s">
        <v>16</v>
      </c>
      <c r="E4" s="18" t="s">
        <v>22</v>
      </c>
      <c r="F4" s="18" t="s">
        <v>26</v>
      </c>
      <c r="G4" s="18" t="s">
        <v>18</v>
      </c>
      <c r="H4" s="18" t="s">
        <v>19</v>
      </c>
      <c r="I4" s="18" t="s">
        <v>20</v>
      </c>
      <c r="J4" s="18" t="s">
        <v>21</v>
      </c>
      <c r="K4" s="18" t="s">
        <v>24</v>
      </c>
      <c r="L4" s="18" t="s">
        <v>25</v>
      </c>
      <c r="M4" s="18" t="s">
        <v>17</v>
      </c>
      <c r="N4" s="18" t="s">
        <v>23</v>
      </c>
    </row>
    <row r="5" spans="4:14">
      <c r="D5" s="18">
        <v>51</v>
      </c>
      <c r="E5" s="18">
        <v>46</v>
      </c>
      <c r="F5" s="18">
        <v>5.3400000000000001E-3</v>
      </c>
      <c r="G5" s="18">
        <v>2.8404199999999999</v>
      </c>
      <c r="H5" s="18">
        <f>LOG(G5,2)</f>
        <v>1.5061042702640297</v>
      </c>
      <c r="I5" s="18">
        <v>4.07</v>
      </c>
      <c r="J5" s="18">
        <f>LOG(I5,2)</f>
        <v>2.0250287944915226</v>
      </c>
      <c r="K5" s="18">
        <v>43.32</v>
      </c>
      <c r="L5" s="18">
        <f>LOG(K5,2)</f>
        <v>5.436961337833603</v>
      </c>
      <c r="M5" s="18">
        <v>51.15</v>
      </c>
      <c r="N5" s="18">
        <f>LOG(M5,2)</f>
        <v>5.6766623348579666</v>
      </c>
    </row>
    <row r="6" spans="4:14">
      <c r="D6" s="18">
        <v>53</v>
      </c>
      <c r="E6" s="18">
        <v>47</v>
      </c>
      <c r="F6" s="18">
        <v>7.6400000000000001E-3</v>
      </c>
      <c r="G6" s="18">
        <v>2.84849</v>
      </c>
      <c r="H6" s="18">
        <f t="shared" ref="H6:H39" si="0">LOG(G6,2)</f>
        <v>1.510197341446154</v>
      </c>
      <c r="I6" s="18">
        <v>2.73</v>
      </c>
      <c r="J6" s="18">
        <f t="shared" ref="J6:J39" si="1">LOG(I6,2)</f>
        <v>1.4489009511451278</v>
      </c>
      <c r="K6" s="18">
        <v>47.65</v>
      </c>
      <c r="L6" s="18">
        <f t="shared" ref="L6:L39" si="2">LOG(K6,2)</f>
        <v>5.5744043090225794</v>
      </c>
      <c r="M6" s="18">
        <v>60.95</v>
      </c>
      <c r="N6" s="18">
        <f t="shared" ref="N6:N39" si="3">LOG(M6,2)</f>
        <v>5.9295543157328501</v>
      </c>
    </row>
    <row r="7" spans="4:14">
      <c r="D7" s="18">
        <v>55</v>
      </c>
      <c r="E7" s="18">
        <v>48</v>
      </c>
      <c r="F7" s="18">
        <v>7.9799999999999992E-3</v>
      </c>
      <c r="G7" s="18">
        <v>2.9527100000000002</v>
      </c>
      <c r="H7" s="18">
        <f t="shared" si="0"/>
        <v>1.5620396693378245</v>
      </c>
      <c r="I7" s="18">
        <v>2.79</v>
      </c>
      <c r="J7" s="18">
        <f t="shared" si="1"/>
        <v>1.4802651220544629</v>
      </c>
      <c r="K7" s="18">
        <v>52.36</v>
      </c>
      <c r="L7" s="18">
        <f t="shared" si="2"/>
        <v>5.7103931921705167</v>
      </c>
      <c r="M7" s="18">
        <v>66.41</v>
      </c>
      <c r="N7" s="18">
        <f t="shared" si="3"/>
        <v>6.0533285934497911</v>
      </c>
    </row>
    <row r="8" spans="4:14">
      <c r="D8" s="18">
        <v>57</v>
      </c>
      <c r="E8" s="18">
        <v>49</v>
      </c>
      <c r="F8" s="18">
        <v>9.11E-3</v>
      </c>
      <c r="G8" s="18">
        <v>2.7974999999999999</v>
      </c>
      <c r="H8" s="18">
        <f t="shared" si="0"/>
        <v>1.484138131201669</v>
      </c>
      <c r="I8" s="18">
        <v>2.58</v>
      </c>
      <c r="J8" s="18">
        <f t="shared" si="1"/>
        <v>1.3673710656485296</v>
      </c>
      <c r="K8" s="18">
        <v>54.33</v>
      </c>
      <c r="L8" s="18">
        <f t="shared" si="2"/>
        <v>5.7636771418965997</v>
      </c>
      <c r="M8" s="18">
        <v>67.83</v>
      </c>
      <c r="N8" s="18">
        <f t="shared" si="3"/>
        <v>6.0838515876979606</v>
      </c>
    </row>
    <row r="9" spans="4:14">
      <c r="D9" s="18">
        <v>59</v>
      </c>
      <c r="E9" s="18">
        <v>50</v>
      </c>
      <c r="F9" s="18">
        <v>9.5099999999999994E-3</v>
      </c>
      <c r="G9" s="18">
        <v>2.8728600000000002</v>
      </c>
      <c r="H9" s="18">
        <f t="shared" si="0"/>
        <v>1.5224876892759307</v>
      </c>
      <c r="I9" s="18">
        <v>2.85</v>
      </c>
      <c r="J9" s="18">
        <f t="shared" si="1"/>
        <v>1.5109619192773793</v>
      </c>
      <c r="K9" s="18">
        <v>58.96</v>
      </c>
      <c r="L9" s="18">
        <f t="shared" si="2"/>
        <v>5.881664619320345</v>
      </c>
      <c r="M9" s="18">
        <v>74.7</v>
      </c>
      <c r="N9" s="18">
        <f t="shared" si="3"/>
        <v>6.2230363379018749</v>
      </c>
    </row>
    <row r="10" spans="4:14">
      <c r="D10" s="18">
        <v>61</v>
      </c>
      <c r="E10" s="18">
        <v>51</v>
      </c>
      <c r="F10" s="18">
        <v>1.014E-2</v>
      </c>
      <c r="G10" s="18">
        <v>2.9626899999999998</v>
      </c>
      <c r="H10" s="18">
        <f t="shared" si="0"/>
        <v>1.566907678320788</v>
      </c>
      <c r="I10" s="18">
        <v>2.9</v>
      </c>
      <c r="J10" s="18">
        <f t="shared" si="1"/>
        <v>1.5360529002402097</v>
      </c>
      <c r="K10" s="18">
        <v>64.44</v>
      </c>
      <c r="L10" s="18">
        <f t="shared" si="2"/>
        <v>6.0098845889318451</v>
      </c>
      <c r="M10" s="18">
        <v>80.489999999999995</v>
      </c>
      <c r="N10" s="18">
        <f t="shared" si="3"/>
        <v>6.3307376502069523</v>
      </c>
    </row>
    <row r="11" spans="4:14">
      <c r="D11" s="18">
        <v>63</v>
      </c>
      <c r="E11" s="18">
        <v>52</v>
      </c>
      <c r="F11" s="18">
        <v>1.055E-2</v>
      </c>
      <c r="G11" s="18">
        <v>3.1171799999999998</v>
      </c>
      <c r="H11" s="18">
        <f t="shared" si="0"/>
        <v>1.6402414650722068</v>
      </c>
      <c r="I11" s="18">
        <v>2.8</v>
      </c>
      <c r="J11" s="18">
        <f t="shared" si="1"/>
        <v>1.4854268271702415</v>
      </c>
      <c r="K11" s="18">
        <v>69.489999999999995</v>
      </c>
      <c r="L11" s="18">
        <f t="shared" si="2"/>
        <v>6.1187334757678453</v>
      </c>
      <c r="M11" s="18">
        <v>89.16</v>
      </c>
      <c r="N11" s="18">
        <f t="shared" si="3"/>
        <v>6.478324711485028</v>
      </c>
    </row>
    <row r="12" spans="4:14">
      <c r="D12" s="18">
        <v>65</v>
      </c>
      <c r="E12" s="18">
        <v>53</v>
      </c>
      <c r="F12" s="18">
        <v>1.1039999999999999E-2</v>
      </c>
      <c r="G12" s="18">
        <v>3.1851799999999999</v>
      </c>
      <c r="H12" s="18">
        <f t="shared" si="0"/>
        <v>1.6713749039633956</v>
      </c>
      <c r="I12" s="18">
        <v>3.07</v>
      </c>
      <c r="J12" s="18">
        <f t="shared" si="1"/>
        <v>1.6182386555954547</v>
      </c>
      <c r="K12" s="18">
        <v>74.31</v>
      </c>
      <c r="L12" s="18">
        <f t="shared" si="2"/>
        <v>6.2154844641927953</v>
      </c>
      <c r="M12" s="18">
        <v>92.68</v>
      </c>
      <c r="N12" s="18">
        <f t="shared" si="3"/>
        <v>6.5341861390900968</v>
      </c>
    </row>
    <row r="13" spans="4:14">
      <c r="D13" s="18">
        <v>67</v>
      </c>
      <c r="E13" s="18">
        <v>54</v>
      </c>
      <c r="F13" s="18">
        <v>1.1350000000000001E-2</v>
      </c>
      <c r="G13" s="18">
        <v>3.3182499999999999</v>
      </c>
      <c r="H13" s="18">
        <f t="shared" si="0"/>
        <v>1.7304225843568066</v>
      </c>
      <c r="I13" s="18">
        <v>3.06</v>
      </c>
      <c r="J13" s="18">
        <f t="shared" si="1"/>
        <v>1.6135316529179271</v>
      </c>
      <c r="K13" s="18">
        <v>79.239999999999995</v>
      </c>
      <c r="L13" s="18">
        <f t="shared" si="2"/>
        <v>6.3081569751147617</v>
      </c>
      <c r="M13" s="18">
        <v>104.98</v>
      </c>
      <c r="N13" s="18">
        <f t="shared" si="3"/>
        <v>6.7139706924360523</v>
      </c>
    </row>
    <row r="14" spans="4:14">
      <c r="D14" s="18">
        <v>69</v>
      </c>
      <c r="E14" s="18">
        <v>55</v>
      </c>
      <c r="F14" s="18">
        <v>1.132E-2</v>
      </c>
      <c r="G14" s="18">
        <v>3.3214399999999999</v>
      </c>
      <c r="H14" s="18">
        <f t="shared" si="0"/>
        <v>1.7318088531538556</v>
      </c>
      <c r="I14" s="18">
        <v>3.27</v>
      </c>
      <c r="J14" s="18">
        <f t="shared" si="1"/>
        <v>1.7092906357233579</v>
      </c>
      <c r="K14" s="18">
        <v>86.36</v>
      </c>
      <c r="L14" s="18">
        <f t="shared" si="2"/>
        <v>6.4322913382477802</v>
      </c>
      <c r="M14" s="18">
        <v>106.37</v>
      </c>
      <c r="N14" s="18">
        <f t="shared" si="3"/>
        <v>6.7329475083394144</v>
      </c>
    </row>
    <row r="15" spans="4:14">
      <c r="D15" s="18">
        <v>71</v>
      </c>
      <c r="E15" s="18">
        <v>56</v>
      </c>
      <c r="F15" s="18">
        <v>1.635E-2</v>
      </c>
      <c r="G15" s="18">
        <v>3.0762</v>
      </c>
      <c r="H15" s="18">
        <f t="shared" si="0"/>
        <v>1.6211493035690026</v>
      </c>
      <c r="I15" s="18">
        <v>3.31</v>
      </c>
      <c r="J15" s="18">
        <f t="shared" si="1"/>
        <v>1.7268312170324931</v>
      </c>
      <c r="K15" s="18">
        <v>88.18</v>
      </c>
      <c r="L15" s="18">
        <f t="shared" si="2"/>
        <v>6.4623795718410237</v>
      </c>
      <c r="M15" s="18">
        <v>111.5</v>
      </c>
      <c r="N15" s="18">
        <f t="shared" si="3"/>
        <v>6.8008998999203047</v>
      </c>
    </row>
    <row r="16" spans="4:14">
      <c r="D16" s="18">
        <v>73</v>
      </c>
      <c r="E16" s="18">
        <v>57</v>
      </c>
      <c r="F16" s="18">
        <v>1.503E-2</v>
      </c>
      <c r="G16" s="18">
        <v>3.3766600000000002</v>
      </c>
      <c r="H16" s="18">
        <f t="shared" si="0"/>
        <v>1.7555969199410617</v>
      </c>
      <c r="I16" s="18">
        <v>3.17</v>
      </c>
      <c r="J16" s="18">
        <f t="shared" si="1"/>
        <v>1.6644828403646825</v>
      </c>
      <c r="K16" s="18">
        <v>95.36</v>
      </c>
      <c r="L16" s="18">
        <f t="shared" si="2"/>
        <v>6.5753123306874377</v>
      </c>
      <c r="M16" s="18">
        <v>129.63999999999999</v>
      </c>
      <c r="N16" s="18">
        <f t="shared" si="3"/>
        <v>7.018367115543116</v>
      </c>
    </row>
    <row r="17" spans="4:14">
      <c r="D17" s="18">
        <v>75</v>
      </c>
      <c r="E17" s="18">
        <v>58</v>
      </c>
      <c r="F17" s="18">
        <v>1.537E-2</v>
      </c>
      <c r="G17" s="18">
        <v>3.5822500000000002</v>
      </c>
      <c r="H17" s="18">
        <f t="shared" si="0"/>
        <v>1.8408660244189277</v>
      </c>
      <c r="I17" s="18">
        <v>3.63</v>
      </c>
      <c r="J17" s="18">
        <f t="shared" si="1"/>
        <v>1.8599695482210259</v>
      </c>
      <c r="K17" s="18">
        <v>104.18</v>
      </c>
      <c r="L17" s="18">
        <f t="shared" si="2"/>
        <v>6.7029345319759779</v>
      </c>
      <c r="M17" s="18">
        <v>131.88999999999999</v>
      </c>
      <c r="N17" s="18">
        <f t="shared" si="3"/>
        <v>7.0431913722767954</v>
      </c>
    </row>
    <row r="18" spans="4:14">
      <c r="D18" s="18">
        <v>77</v>
      </c>
      <c r="E18" s="18">
        <v>60</v>
      </c>
      <c r="F18" s="18">
        <v>1.542E-2</v>
      </c>
      <c r="G18" s="18">
        <v>3.91818</v>
      </c>
      <c r="H18" s="18">
        <f t="shared" si="0"/>
        <v>1.9701836761002272</v>
      </c>
      <c r="I18" s="18">
        <v>3.91</v>
      </c>
      <c r="J18" s="18">
        <f t="shared" si="1"/>
        <v>1.9671686075326278</v>
      </c>
      <c r="K18" s="18">
        <v>109.55</v>
      </c>
      <c r="L18" s="18">
        <f t="shared" si="2"/>
        <v>6.7754456741028593</v>
      </c>
      <c r="M18" s="18">
        <v>142.30000000000001</v>
      </c>
      <c r="N18" s="18">
        <f t="shared" si="3"/>
        <v>7.1527918516391198</v>
      </c>
    </row>
    <row r="19" spans="4:14">
      <c r="D19" s="18">
        <v>79</v>
      </c>
      <c r="E19" s="18">
        <v>62</v>
      </c>
      <c r="F19" s="18">
        <v>1.789E-2</v>
      </c>
      <c r="G19" s="18">
        <v>4.2455100000000003</v>
      </c>
      <c r="H19" s="18">
        <f t="shared" si="0"/>
        <v>2.0859378706866596</v>
      </c>
      <c r="I19" s="18">
        <v>4.38</v>
      </c>
      <c r="J19" s="18">
        <f t="shared" si="1"/>
        <v>2.1309308698264489</v>
      </c>
      <c r="K19" s="18">
        <v>121.91</v>
      </c>
      <c r="L19" s="18">
        <f t="shared" si="2"/>
        <v>6.9296726615793443</v>
      </c>
      <c r="M19" s="18">
        <v>155.47999999999999</v>
      </c>
      <c r="N19" s="18">
        <f t="shared" si="3"/>
        <v>7.2805852025644722</v>
      </c>
    </row>
    <row r="20" spans="4:14">
      <c r="D20" s="18">
        <v>81</v>
      </c>
      <c r="E20" s="18">
        <v>64</v>
      </c>
      <c r="F20" s="18">
        <v>1.7309999999999999E-2</v>
      </c>
      <c r="G20" s="18">
        <v>4.8158200000000004</v>
      </c>
      <c r="H20" s="18">
        <f t="shared" si="0"/>
        <v>2.2677814697636451</v>
      </c>
      <c r="I20" s="18">
        <v>4.71</v>
      </c>
      <c r="J20" s="18">
        <f t="shared" si="1"/>
        <v>2.2357270598380583</v>
      </c>
      <c r="K20" s="18">
        <v>132.37</v>
      </c>
      <c r="L20" s="18">
        <f t="shared" si="2"/>
        <v>7.048432380232641</v>
      </c>
      <c r="M20" s="18">
        <v>158.97</v>
      </c>
      <c r="N20" s="18">
        <f t="shared" si="3"/>
        <v>7.312610722989767</v>
      </c>
    </row>
    <row r="21" spans="4:14">
      <c r="D21" s="18">
        <v>83</v>
      </c>
      <c r="E21" s="18">
        <v>66</v>
      </c>
      <c r="F21" s="18">
        <v>2.0400000000000001E-2</v>
      </c>
      <c r="G21" s="18">
        <v>7.09192</v>
      </c>
      <c r="H21" s="18">
        <f t="shared" si="0"/>
        <v>2.8261762620890778</v>
      </c>
      <c r="I21" s="18">
        <v>7.29</v>
      </c>
      <c r="J21" s="18">
        <f t="shared" si="1"/>
        <v>2.8659188145522125</v>
      </c>
      <c r="K21" s="18">
        <v>195.62</v>
      </c>
      <c r="L21" s="18">
        <f t="shared" si="2"/>
        <v>7.611910067354084</v>
      </c>
      <c r="M21" s="18">
        <v>236.04</v>
      </c>
      <c r="N21" s="18">
        <f t="shared" si="3"/>
        <v>7.882887553224962</v>
      </c>
    </row>
    <row r="22" spans="4:14">
      <c r="D22" s="18">
        <v>85</v>
      </c>
      <c r="E22" s="18">
        <v>68</v>
      </c>
      <c r="F22" s="18">
        <v>2.3040000000000001E-2</v>
      </c>
      <c r="G22" s="18">
        <v>7.8543900000000004</v>
      </c>
      <c r="H22" s="18">
        <f t="shared" si="0"/>
        <v>2.9734992350168952</v>
      </c>
      <c r="I22" s="18">
        <v>8.7799999999999994</v>
      </c>
      <c r="J22" s="18">
        <f t="shared" si="1"/>
        <v>3.1342209397606333</v>
      </c>
      <c r="K22" s="18">
        <v>220.86</v>
      </c>
      <c r="L22" s="18">
        <f t="shared" si="2"/>
        <v>7.7869883453304931</v>
      </c>
      <c r="M22" s="18">
        <v>251.94</v>
      </c>
      <c r="N22" s="18">
        <f t="shared" si="3"/>
        <v>7.9769363837814495</v>
      </c>
    </row>
    <row r="23" spans="4:14">
      <c r="D23" s="18">
        <v>87</v>
      </c>
      <c r="E23" s="18">
        <v>69</v>
      </c>
      <c r="F23" s="18">
        <v>2.5569999999999999E-2</v>
      </c>
      <c r="G23" s="18">
        <v>8.2481600000000004</v>
      </c>
      <c r="H23" s="18">
        <f t="shared" si="0"/>
        <v>3.0440723187593273</v>
      </c>
      <c r="I23" s="18">
        <v>9.52</v>
      </c>
      <c r="J23" s="18">
        <f t="shared" si="1"/>
        <v>3.2509615735332189</v>
      </c>
      <c r="K23" s="18">
        <v>239.29</v>
      </c>
      <c r="L23" s="18">
        <f t="shared" si="2"/>
        <v>7.9026162972576648</v>
      </c>
      <c r="M23" s="18">
        <v>273.5</v>
      </c>
      <c r="N23" s="18">
        <f t="shared" si="3"/>
        <v>8.0953970227925574</v>
      </c>
    </row>
    <row r="24" spans="4:14">
      <c r="D24" s="18">
        <v>89</v>
      </c>
      <c r="E24" s="18">
        <v>71</v>
      </c>
      <c r="F24" s="18">
        <v>2.061E-2</v>
      </c>
      <c r="G24" s="18">
        <v>9.5430700000000002</v>
      </c>
      <c r="H24" s="18">
        <f t="shared" si="0"/>
        <v>3.2544534550446138</v>
      </c>
      <c r="I24" s="18">
        <v>10.85</v>
      </c>
      <c r="J24" s="18">
        <f t="shared" si="1"/>
        <v>3.4396231375571169</v>
      </c>
      <c r="K24" s="18">
        <v>259.07</v>
      </c>
      <c r="L24" s="18">
        <f t="shared" si="2"/>
        <v>8.0171981525831004</v>
      </c>
      <c r="M24" s="18">
        <v>304.16000000000003</v>
      </c>
      <c r="N24" s="18">
        <f t="shared" si="3"/>
        <v>8.2486866268738286</v>
      </c>
    </row>
    <row r="25" spans="4:14">
      <c r="D25" s="18">
        <v>91</v>
      </c>
      <c r="E25" s="18">
        <v>73</v>
      </c>
      <c r="F25" s="18">
        <v>2.2110000000000001E-2</v>
      </c>
      <c r="G25" s="18">
        <v>10.301679999999999</v>
      </c>
      <c r="H25" s="18">
        <f t="shared" si="0"/>
        <v>3.3648077264732303</v>
      </c>
      <c r="I25" s="18">
        <v>12.06</v>
      </c>
      <c r="J25" s="18">
        <f t="shared" si="1"/>
        <v>3.5921580021253603</v>
      </c>
      <c r="K25" s="18">
        <v>284.61</v>
      </c>
      <c r="L25" s="18">
        <f t="shared" si="2"/>
        <v>8.1528425427738878</v>
      </c>
      <c r="M25" s="18">
        <v>327.14999999999998</v>
      </c>
      <c r="N25" s="18">
        <f t="shared" si="3"/>
        <v>8.3538084604745446</v>
      </c>
    </row>
    <row r="26" spans="4:14">
      <c r="D26" s="18">
        <v>93</v>
      </c>
      <c r="E26" s="18">
        <v>75</v>
      </c>
      <c r="F26" s="18">
        <v>3.0179999999999998E-2</v>
      </c>
      <c r="G26" s="18">
        <v>10.919549999999999</v>
      </c>
      <c r="H26" s="18">
        <f t="shared" si="0"/>
        <v>3.4488414982014093</v>
      </c>
      <c r="I26" s="18">
        <v>13.18</v>
      </c>
      <c r="J26" s="18">
        <f t="shared" si="1"/>
        <v>3.7202784652333274</v>
      </c>
      <c r="K26" s="18">
        <v>305.27999999999997</v>
      </c>
      <c r="L26" s="18">
        <f t="shared" si="2"/>
        <v>8.2539892662307857</v>
      </c>
      <c r="M26" s="18">
        <v>360.35</v>
      </c>
      <c r="N26" s="18">
        <f t="shared" si="3"/>
        <v>8.4932550351206686</v>
      </c>
    </row>
    <row r="27" spans="4:14">
      <c r="D27" s="18">
        <v>95</v>
      </c>
      <c r="E27" s="18">
        <v>77</v>
      </c>
      <c r="F27" s="18">
        <v>2.2800000000000001E-2</v>
      </c>
      <c r="G27" s="18">
        <v>12.69289</v>
      </c>
      <c r="H27" s="18">
        <f t="shared" si="0"/>
        <v>3.6659486836861874</v>
      </c>
      <c r="I27" s="18">
        <v>15.04</v>
      </c>
      <c r="J27" s="18">
        <f t="shared" si="1"/>
        <v>3.9107326619029128</v>
      </c>
      <c r="K27" s="18">
        <v>343.05</v>
      </c>
      <c r="L27" s="18">
        <f t="shared" si="2"/>
        <v>8.4222750562454678</v>
      </c>
      <c r="M27" s="18">
        <v>389.14</v>
      </c>
      <c r="N27" s="18">
        <f t="shared" si="3"/>
        <v>8.6041454734409779</v>
      </c>
    </row>
    <row r="28" spans="4:14">
      <c r="D28" s="18">
        <v>97</v>
      </c>
      <c r="E28" s="18">
        <v>79</v>
      </c>
      <c r="F28" s="18">
        <v>2.443E-2</v>
      </c>
      <c r="G28" s="18">
        <v>13.86835</v>
      </c>
      <c r="H28" s="18">
        <f t="shared" si="0"/>
        <v>3.7937242467579768</v>
      </c>
      <c r="I28" s="18">
        <v>17.79</v>
      </c>
      <c r="J28" s="18">
        <f t="shared" si="1"/>
        <v>4.1529946054924354</v>
      </c>
      <c r="K28" s="18">
        <v>379.95</v>
      </c>
      <c r="L28" s="18">
        <f t="shared" si="2"/>
        <v>8.5696657675462955</v>
      </c>
      <c r="M28" s="18">
        <v>412.24</v>
      </c>
      <c r="N28" s="18">
        <f t="shared" si="3"/>
        <v>8.6873406873783043</v>
      </c>
    </row>
    <row r="29" spans="4:14">
      <c r="D29" s="18">
        <v>99</v>
      </c>
      <c r="E29" s="18">
        <v>81</v>
      </c>
      <c r="F29" s="18">
        <v>3.3439999999999998E-2</v>
      </c>
      <c r="G29" s="18">
        <v>15.08675</v>
      </c>
      <c r="H29" s="18">
        <f t="shared" si="0"/>
        <v>3.9152101476787475</v>
      </c>
      <c r="I29" s="18">
        <v>21.43</v>
      </c>
      <c r="J29" s="18">
        <f t="shared" si="1"/>
        <v>4.4215599449018228</v>
      </c>
      <c r="K29" s="18">
        <v>427.57</v>
      </c>
      <c r="L29" s="18">
        <f t="shared" si="2"/>
        <v>8.7400168212017704</v>
      </c>
      <c r="M29" s="18">
        <v>472.97</v>
      </c>
      <c r="N29" s="18">
        <f t="shared" si="3"/>
        <v>8.8856048675807742</v>
      </c>
    </row>
    <row r="30" spans="4:14">
      <c r="D30" s="18">
        <v>101</v>
      </c>
      <c r="E30" s="18">
        <v>82</v>
      </c>
      <c r="F30" s="18">
        <v>3.1199999999999999E-2</v>
      </c>
      <c r="G30" s="18">
        <v>16.44398</v>
      </c>
      <c r="H30" s="18">
        <f t="shared" si="0"/>
        <v>4.039487617224256</v>
      </c>
      <c r="I30" s="18">
        <v>21.73</v>
      </c>
      <c r="J30" s="18">
        <f t="shared" si="1"/>
        <v>4.4416162694065582</v>
      </c>
      <c r="K30" s="18">
        <v>467.88</v>
      </c>
      <c r="L30" s="18">
        <f t="shared" si="2"/>
        <v>8.8699947503440679</v>
      </c>
      <c r="M30" s="18">
        <v>516.08000000000004</v>
      </c>
      <c r="N30" s="18">
        <f t="shared" si="3"/>
        <v>9.0114509117357535</v>
      </c>
    </row>
    <row r="31" spans="4:14">
      <c r="D31" s="18">
        <v>103</v>
      </c>
      <c r="E31" s="18">
        <v>84</v>
      </c>
      <c r="F31" s="18">
        <v>2.7689999999999999E-2</v>
      </c>
      <c r="G31" s="18">
        <v>18.856459999999998</v>
      </c>
      <c r="H31" s="18">
        <f t="shared" si="0"/>
        <v>4.236986953307218</v>
      </c>
      <c r="I31" s="18">
        <v>27.44</v>
      </c>
      <c r="J31" s="18">
        <f t="shared" si="1"/>
        <v>4.7782085763980877</v>
      </c>
      <c r="K31" s="18">
        <v>542.89</v>
      </c>
      <c r="L31" s="18">
        <f t="shared" si="2"/>
        <v>9.0845160995338361</v>
      </c>
      <c r="M31" s="18">
        <v>577.36</v>
      </c>
      <c r="N31" s="18">
        <f t="shared" si="3"/>
        <v>9.1733273496509877</v>
      </c>
    </row>
    <row r="32" spans="4:14">
      <c r="D32" s="18">
        <v>105</v>
      </c>
      <c r="E32" s="18">
        <v>86</v>
      </c>
      <c r="F32" s="18">
        <v>3.5799999999999998E-2</v>
      </c>
      <c r="G32" s="18">
        <v>22.22364</v>
      </c>
      <c r="H32" s="18">
        <f t="shared" si="0"/>
        <v>4.4740232293399442</v>
      </c>
      <c r="I32" s="18">
        <v>35.950000000000003</v>
      </c>
      <c r="J32" s="18">
        <f t="shared" si="1"/>
        <v>5.1679198655519354</v>
      </c>
      <c r="K32" s="18">
        <v>642.26</v>
      </c>
      <c r="L32" s="18">
        <f t="shared" si="2"/>
        <v>9.3270136378639847</v>
      </c>
      <c r="M32" s="18">
        <v>681.03</v>
      </c>
      <c r="N32" s="18">
        <f t="shared" si="3"/>
        <v>9.4115745414598422</v>
      </c>
    </row>
    <row r="33" spans="4:14">
      <c r="D33" s="18">
        <v>107</v>
      </c>
      <c r="E33" s="18">
        <v>88</v>
      </c>
      <c r="F33" s="18">
        <v>2.453E-2</v>
      </c>
      <c r="G33" s="18">
        <v>27.610189999999999</v>
      </c>
      <c r="H33" s="18">
        <f t="shared" si="0"/>
        <v>4.7871289107783799</v>
      </c>
      <c r="I33" s="18">
        <v>44.84</v>
      </c>
      <c r="J33" s="18">
        <f t="shared" si="1"/>
        <v>5.4867143730307024</v>
      </c>
      <c r="K33" s="18">
        <v>755.5</v>
      </c>
      <c r="L33" s="18">
        <f t="shared" si="2"/>
        <v>9.56128794516483</v>
      </c>
      <c r="M33" s="18">
        <v>774.54</v>
      </c>
      <c r="N33" s="18">
        <f t="shared" si="3"/>
        <v>9.597195936615897</v>
      </c>
    </row>
    <row r="34" spans="4:14">
      <c r="D34" s="18">
        <v>109</v>
      </c>
      <c r="E34" s="18">
        <v>90</v>
      </c>
      <c r="F34" s="18">
        <v>4.5539999999999997E-2</v>
      </c>
      <c r="G34" s="18">
        <v>33.016629999999999</v>
      </c>
      <c r="H34" s="18">
        <f>LOG(G34,2)</f>
        <v>5.045120967094773</v>
      </c>
      <c r="I34" s="18">
        <v>59.26</v>
      </c>
      <c r="J34" s="18">
        <f t="shared" si="1"/>
        <v>5.8889867211865576</v>
      </c>
      <c r="K34" s="18">
        <v>927.05</v>
      </c>
      <c r="L34" s="18">
        <f t="shared" si="2"/>
        <v>9.8565033417935268</v>
      </c>
      <c r="M34" s="18">
        <v>964.41</v>
      </c>
      <c r="N34" s="18">
        <f t="shared" si="3"/>
        <v>9.9135028001465333</v>
      </c>
    </row>
    <row r="35" spans="4:14">
      <c r="D35" s="18">
        <v>111</v>
      </c>
      <c r="E35" s="18">
        <v>92</v>
      </c>
      <c r="F35" s="18">
        <v>2.2190000000000001E-2</v>
      </c>
      <c r="G35" s="18">
        <v>43.402419999999999</v>
      </c>
      <c r="H35" s="18">
        <f t="shared" si="0"/>
        <v>5.4397035805217229</v>
      </c>
      <c r="I35" s="18">
        <v>75.66</v>
      </c>
      <c r="J35" s="18">
        <f t="shared" si="1"/>
        <v>6.2414588712746513</v>
      </c>
      <c r="K35" s="18">
        <v>1161.5999999999999</v>
      </c>
      <c r="L35" s="18">
        <f t="shared" si="2"/>
        <v>10.181897643108389</v>
      </c>
      <c r="M35" s="18">
        <v>1138.99</v>
      </c>
      <c r="N35" s="18">
        <f t="shared" si="3"/>
        <v>10.153539365322036</v>
      </c>
    </row>
    <row r="36" spans="4:14">
      <c r="D36" s="18">
        <v>113</v>
      </c>
      <c r="E36" s="18">
        <v>94</v>
      </c>
      <c r="F36" s="18">
        <v>5.1020000000000003E-2</v>
      </c>
      <c r="G36" s="18">
        <v>53.038200000000003</v>
      </c>
      <c r="H36" s="18">
        <f t="shared" si="0"/>
        <v>5.7289599092681271</v>
      </c>
      <c r="I36" s="18">
        <v>97.34</v>
      </c>
      <c r="J36" s="18">
        <f t="shared" si="1"/>
        <v>6.6049608695037785</v>
      </c>
      <c r="K36" s="18">
        <v>1467.14</v>
      </c>
      <c r="L36" s="18">
        <f t="shared" si="2"/>
        <v>10.51879082961252</v>
      </c>
      <c r="M36" s="18">
        <v>1500.69</v>
      </c>
      <c r="N36" s="18">
        <f t="shared" si="3"/>
        <v>10.55141027251171</v>
      </c>
    </row>
    <row r="37" spans="4:14">
      <c r="D37" s="18">
        <v>115</v>
      </c>
      <c r="E37" s="18">
        <v>95</v>
      </c>
      <c r="F37" s="18">
        <v>-7.3730000000000004E-2</v>
      </c>
      <c r="G37" s="18">
        <v>69.924049999999994</v>
      </c>
      <c r="H37" s="18">
        <f t="shared" si="0"/>
        <v>6.1277168430225206</v>
      </c>
      <c r="I37" s="18">
        <v>118.09</v>
      </c>
      <c r="J37" s="18">
        <f t="shared" si="1"/>
        <v>6.883742990570445</v>
      </c>
      <c r="K37" s="18">
        <v>1822.28</v>
      </c>
      <c r="L37" s="18">
        <f t="shared" si="2"/>
        <v>10.831528936214404</v>
      </c>
      <c r="M37" s="18">
        <v>1681.68</v>
      </c>
      <c r="N37" s="18">
        <f t="shared" si="3"/>
        <v>10.715687491840029</v>
      </c>
    </row>
    <row r="38" spans="4:14">
      <c r="D38" s="18">
        <v>117</v>
      </c>
      <c r="E38" s="18">
        <v>97</v>
      </c>
      <c r="F38" s="18">
        <v>0.17768</v>
      </c>
      <c r="G38" s="18">
        <v>77.532139999999998</v>
      </c>
      <c r="H38" s="18">
        <f t="shared" si="0"/>
        <v>6.2767225808432316</v>
      </c>
      <c r="I38" s="18">
        <v>153.94</v>
      </c>
      <c r="J38" s="18">
        <f t="shared" si="1"/>
        <v>7.2662243421916299</v>
      </c>
      <c r="K38" s="18">
        <v>2447.8200000000002</v>
      </c>
      <c r="L38" s="18">
        <f t="shared" si="2"/>
        <v>11.257281758274729</v>
      </c>
      <c r="M38" s="18">
        <v>2314.65</v>
      </c>
      <c r="N38" s="18">
        <f t="shared" si="3"/>
        <v>11.176578343616793</v>
      </c>
    </row>
    <row r="39" spans="4:14">
      <c r="D39" s="18">
        <v>119</v>
      </c>
      <c r="E39" s="18">
        <v>99</v>
      </c>
      <c r="F39" s="18">
        <v>8.1920000000000007E-2</v>
      </c>
      <c r="G39" s="18">
        <v>106.91253</v>
      </c>
      <c r="H39" s="18">
        <f t="shared" si="0"/>
        <v>6.7402871345966746</v>
      </c>
      <c r="I39" s="18">
        <v>211.73</v>
      </c>
      <c r="J39" s="18">
        <f t="shared" si="1"/>
        <v>7.7260818889022405</v>
      </c>
      <c r="K39" s="18">
        <v>3059.83</v>
      </c>
      <c r="L39" s="18">
        <f t="shared" si="2"/>
        <v>11.579235785629058</v>
      </c>
      <c r="M39" s="18">
        <v>3022.42</v>
      </c>
      <c r="N39" s="18">
        <f t="shared" si="3"/>
        <v>11.561488438154447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P150"/>
  <sheetViews>
    <sheetView topLeftCell="M8" zoomScale="164" workbookViewId="0">
      <selection activeCell="D4" sqref="D4:P5"/>
    </sheetView>
  </sheetViews>
  <sheetFormatPr baseColWidth="10" defaultColWidth="8.83203125" defaultRowHeight="14"/>
  <cols>
    <col min="5" max="5" width="11.83203125" customWidth="1"/>
    <col min="6" max="6" width="15.83203125" customWidth="1"/>
    <col min="8" max="8" width="14.6640625" style="2" customWidth="1"/>
    <col min="9" max="11" width="19.83203125" style="2" customWidth="1"/>
  </cols>
  <sheetData>
    <row r="4" spans="4:16">
      <c r="D4" s="6" t="s">
        <v>15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4:16" ht="83" customHeight="1"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4:16" ht="30">
      <c r="D6" t="s">
        <v>8</v>
      </c>
      <c r="E6" t="s">
        <v>9</v>
      </c>
      <c r="F6" t="s">
        <v>0</v>
      </c>
      <c r="G6" t="s">
        <v>3</v>
      </c>
      <c r="H6" s="2" t="s">
        <v>12</v>
      </c>
      <c r="I6" s="3" t="s">
        <v>13</v>
      </c>
      <c r="J6" s="3" t="s">
        <v>14</v>
      </c>
      <c r="K6" s="3" t="s">
        <v>13</v>
      </c>
    </row>
    <row r="7" spans="4:16">
      <c r="D7">
        <v>51</v>
      </c>
      <c r="E7">
        <v>1</v>
      </c>
      <c r="F7">
        <v>46</v>
      </c>
      <c r="G7">
        <v>218.05</v>
      </c>
      <c r="H7" s="2">
        <f>POWER(2,0.03*F7+6.41)</f>
        <v>221.32153121481338</v>
      </c>
    </row>
    <row r="8" spans="4:16">
      <c r="D8">
        <v>53</v>
      </c>
      <c r="E8">
        <v>1</v>
      </c>
      <c r="F8">
        <v>47</v>
      </c>
      <c r="G8">
        <v>229.4</v>
      </c>
      <c r="H8" s="2">
        <f>POWER(2,0.03*F8+6.41)</f>
        <v>225.97196705040773</v>
      </c>
      <c r="J8" s="2">
        <f>2*(ROUNDDOWN((D8-F8+12)/E8,0)+1) + (ROUNDDOWN((180-D8-12)/E8,0)+1) + 1</f>
        <v>155</v>
      </c>
    </row>
    <row r="9" spans="4:16">
      <c r="D9">
        <v>53</v>
      </c>
      <c r="E9">
        <v>2</v>
      </c>
      <c r="F9">
        <v>47</v>
      </c>
      <c r="G9">
        <v>116.93</v>
      </c>
      <c r="I9" s="2">
        <f>H8/E9</f>
        <v>112.98598352520386</v>
      </c>
      <c r="J9" s="2">
        <f>2*(ROUNDDOWN((D9-F9+12)/E9,0)+1) + (ROUNDDOWN((180-D9-12)/E9,0)+1) + 1</f>
        <v>79</v>
      </c>
      <c r="K9" s="2">
        <f>H8/J8*J9</f>
        <v>115.17280901278845</v>
      </c>
      <c r="M9" t="s">
        <v>10</v>
      </c>
    </row>
    <row r="10" spans="4:16">
      <c r="D10">
        <v>55</v>
      </c>
      <c r="E10">
        <v>1</v>
      </c>
      <c r="F10">
        <v>48</v>
      </c>
      <c r="G10">
        <v>232.58</v>
      </c>
      <c r="H10" s="2">
        <f>POWER(2,0.03*F10+6.41)</f>
        <v>230.72011842837239</v>
      </c>
      <c r="J10" s="2">
        <f t="shared" ref="J10:J73" si="0">2*(ROUNDDOWN((D10-F10+12)/E10,0)+1) + (ROUNDDOWN((180-D10-12)/E10,0)+1) + 1</f>
        <v>155</v>
      </c>
    </row>
    <row r="11" spans="4:16">
      <c r="D11">
        <v>55</v>
      </c>
      <c r="E11">
        <v>2</v>
      </c>
      <c r="F11">
        <v>48</v>
      </c>
      <c r="G11">
        <v>122.94</v>
      </c>
      <c r="I11" s="2">
        <f>H10/E11</f>
        <v>115.36005921418619</v>
      </c>
      <c r="J11" s="2">
        <f t="shared" si="0"/>
        <v>78</v>
      </c>
      <c r="K11" s="2">
        <f>H10/J10*J11</f>
        <v>116.10431766072934</v>
      </c>
    </row>
    <row r="12" spans="4:16">
      <c r="D12">
        <v>57</v>
      </c>
      <c r="E12">
        <v>1</v>
      </c>
      <c r="F12">
        <v>49</v>
      </c>
      <c r="G12">
        <v>237.2</v>
      </c>
      <c r="H12" s="2">
        <f>POWER(2,0.03*F12+6.41)</f>
        <v>235.56803855996804</v>
      </c>
      <c r="J12" s="2">
        <f t="shared" si="0"/>
        <v>155</v>
      </c>
    </row>
    <row r="13" spans="4:16">
      <c r="D13">
        <v>57</v>
      </c>
      <c r="E13">
        <v>2</v>
      </c>
      <c r="F13">
        <v>49</v>
      </c>
      <c r="G13">
        <v>131.26</v>
      </c>
      <c r="I13" s="2">
        <f>$H$12/E13</f>
        <v>117.78401927998402</v>
      </c>
      <c r="J13" s="2">
        <f t="shared" si="0"/>
        <v>79</v>
      </c>
    </row>
    <row r="14" spans="4:16">
      <c r="D14">
        <v>57</v>
      </c>
      <c r="E14">
        <v>3</v>
      </c>
      <c r="F14">
        <v>49</v>
      </c>
      <c r="G14">
        <v>86.59</v>
      </c>
      <c r="I14" s="2">
        <f>$H$12/E14</f>
        <v>78.522679519989353</v>
      </c>
      <c r="J14" s="2">
        <f t="shared" si="0"/>
        <v>53</v>
      </c>
    </row>
    <row r="15" spans="4:16">
      <c r="D15">
        <v>59</v>
      </c>
      <c r="E15">
        <v>1</v>
      </c>
      <c r="F15">
        <v>50</v>
      </c>
      <c r="G15">
        <v>238.03</v>
      </c>
      <c r="H15" s="2">
        <f>POWER(2,0.03*F15+6.41)</f>
        <v>240.51782379878702</v>
      </c>
      <c r="J15" s="2">
        <f t="shared" si="0"/>
        <v>155</v>
      </c>
    </row>
    <row r="16" spans="4:16">
      <c r="D16">
        <v>59</v>
      </c>
      <c r="E16">
        <v>2</v>
      </c>
      <c r="F16">
        <v>50</v>
      </c>
      <c r="G16">
        <v>129.82</v>
      </c>
      <c r="I16" s="2">
        <f>H15/E16</f>
        <v>120.25891189939351</v>
      </c>
      <c r="J16" s="2">
        <f t="shared" si="0"/>
        <v>78</v>
      </c>
    </row>
    <row r="17" spans="4:10">
      <c r="D17">
        <v>59</v>
      </c>
      <c r="E17">
        <v>3</v>
      </c>
      <c r="F17">
        <v>50</v>
      </c>
      <c r="G17">
        <v>90.37</v>
      </c>
      <c r="I17" s="2">
        <f>H15/E17</f>
        <v>80.172607932929012</v>
      </c>
      <c r="J17" s="2">
        <f t="shared" si="0"/>
        <v>54</v>
      </c>
    </row>
    <row r="18" spans="4:10">
      <c r="D18">
        <v>61</v>
      </c>
      <c r="E18">
        <v>1</v>
      </c>
      <c r="F18">
        <v>51</v>
      </c>
      <c r="G18">
        <v>252.46</v>
      </c>
      <c r="H18" s="2">
        <f>POWER(2,0.07*F18+4.42)</f>
        <v>254.23167883188108</v>
      </c>
      <c r="J18" s="2">
        <f t="shared" si="0"/>
        <v>155</v>
      </c>
    </row>
    <row r="19" spans="4:10">
      <c r="D19">
        <v>61</v>
      </c>
      <c r="E19">
        <v>2</v>
      </c>
      <c r="F19">
        <v>51</v>
      </c>
      <c r="G19">
        <v>137.9</v>
      </c>
      <c r="I19" s="2">
        <f>H18/E19</f>
        <v>127.11583941594054</v>
      </c>
      <c r="J19" s="2">
        <f t="shared" si="0"/>
        <v>79</v>
      </c>
    </row>
    <row r="20" spans="4:10">
      <c r="D20">
        <v>61</v>
      </c>
      <c r="E20">
        <v>3</v>
      </c>
      <c r="F20">
        <v>51</v>
      </c>
      <c r="G20">
        <v>95.58</v>
      </c>
      <c r="I20" s="2">
        <f>H18/E20</f>
        <v>84.743892943960361</v>
      </c>
      <c r="J20" s="2">
        <f t="shared" si="0"/>
        <v>53</v>
      </c>
    </row>
    <row r="21" spans="4:10">
      <c r="D21">
        <v>61</v>
      </c>
      <c r="E21">
        <v>4</v>
      </c>
      <c r="F21">
        <v>51</v>
      </c>
      <c r="G21">
        <v>73.099999999999994</v>
      </c>
      <c r="I21" s="2">
        <f>H18/E21</f>
        <v>63.557919707970271</v>
      </c>
      <c r="J21" s="2">
        <f t="shared" si="0"/>
        <v>40</v>
      </c>
    </row>
    <row r="22" spans="4:10">
      <c r="D22">
        <v>63</v>
      </c>
      <c r="E22">
        <v>1</v>
      </c>
      <c r="F22">
        <v>52</v>
      </c>
      <c r="G22">
        <v>263.25</v>
      </c>
      <c r="H22" s="2">
        <f>POWER(2,0.07*F22+4.42)</f>
        <v>266.8712347753272</v>
      </c>
      <c r="J22" s="2">
        <f t="shared" si="0"/>
        <v>155</v>
      </c>
    </row>
    <row r="23" spans="4:10">
      <c r="D23">
        <v>63</v>
      </c>
      <c r="E23">
        <v>2</v>
      </c>
      <c r="F23">
        <v>52</v>
      </c>
      <c r="G23">
        <v>143.88999999999999</v>
      </c>
      <c r="J23" s="2">
        <f t="shared" si="0"/>
        <v>78</v>
      </c>
    </row>
    <row r="24" spans="4:10">
      <c r="D24">
        <v>63</v>
      </c>
      <c r="E24">
        <v>3</v>
      </c>
      <c r="F24">
        <v>52</v>
      </c>
      <c r="G24">
        <v>100.56</v>
      </c>
      <c r="J24" s="2">
        <f t="shared" si="0"/>
        <v>53</v>
      </c>
    </row>
    <row r="25" spans="4:10">
      <c r="D25">
        <v>63</v>
      </c>
      <c r="E25">
        <v>4</v>
      </c>
      <c r="F25">
        <v>52</v>
      </c>
      <c r="G25">
        <v>79.260000000000005</v>
      </c>
      <c r="J25" s="2">
        <f t="shared" si="0"/>
        <v>40</v>
      </c>
    </row>
    <row r="26" spans="4:10">
      <c r="D26">
        <v>65</v>
      </c>
      <c r="E26">
        <v>1</v>
      </c>
      <c r="F26">
        <v>53</v>
      </c>
      <c r="G26">
        <v>281.19</v>
      </c>
      <c r="H26" s="2">
        <f>POWER(2,0.07*F26+4.42)</f>
        <v>280.13918752274952</v>
      </c>
      <c r="J26" s="2">
        <f t="shared" si="0"/>
        <v>155</v>
      </c>
    </row>
    <row r="27" spans="4:10">
      <c r="D27">
        <v>65</v>
      </c>
      <c r="E27">
        <v>2</v>
      </c>
      <c r="F27">
        <v>53</v>
      </c>
      <c r="G27">
        <v>151.44</v>
      </c>
      <c r="J27" s="2">
        <f t="shared" si="0"/>
        <v>79</v>
      </c>
    </row>
    <row r="28" spans="4:10">
      <c r="D28">
        <v>65</v>
      </c>
      <c r="E28">
        <v>3</v>
      </c>
      <c r="F28">
        <v>53</v>
      </c>
      <c r="G28">
        <v>104.08</v>
      </c>
      <c r="J28" s="2">
        <f t="shared" si="0"/>
        <v>54</v>
      </c>
    </row>
    <row r="29" spans="4:10">
      <c r="D29">
        <v>65</v>
      </c>
      <c r="E29">
        <v>4</v>
      </c>
      <c r="F29">
        <v>53</v>
      </c>
      <c r="G29">
        <v>80.13</v>
      </c>
      <c r="J29" s="2">
        <f t="shared" si="0"/>
        <v>41</v>
      </c>
    </row>
    <row r="30" spans="4:10">
      <c r="D30">
        <v>65</v>
      </c>
      <c r="E30">
        <v>5</v>
      </c>
      <c r="F30">
        <v>53</v>
      </c>
      <c r="G30">
        <v>63.39</v>
      </c>
      <c r="J30" s="2">
        <f t="shared" si="0"/>
        <v>32</v>
      </c>
    </row>
    <row r="31" spans="4:10">
      <c r="D31">
        <v>67</v>
      </c>
      <c r="E31">
        <v>1</v>
      </c>
      <c r="F31">
        <v>54</v>
      </c>
      <c r="G31">
        <v>293.70999999999998</v>
      </c>
      <c r="H31" s="2">
        <f>POWER(2,0.07*F31+4.42)</f>
        <v>294.06677887924064</v>
      </c>
      <c r="J31" s="2">
        <f t="shared" si="0"/>
        <v>155</v>
      </c>
    </row>
    <row r="32" spans="4:10">
      <c r="D32">
        <v>67</v>
      </c>
      <c r="E32">
        <v>2</v>
      </c>
      <c r="F32">
        <v>54</v>
      </c>
      <c r="G32">
        <v>160.74</v>
      </c>
      <c r="J32" s="2">
        <f t="shared" si="0"/>
        <v>78</v>
      </c>
    </row>
    <row r="33" spans="4:10">
      <c r="D33">
        <v>67</v>
      </c>
      <c r="E33">
        <v>3</v>
      </c>
      <c r="F33">
        <v>54</v>
      </c>
      <c r="G33">
        <v>113.71</v>
      </c>
      <c r="J33" s="2">
        <f t="shared" si="0"/>
        <v>53</v>
      </c>
    </row>
    <row r="34" spans="4:10">
      <c r="D34">
        <v>67</v>
      </c>
      <c r="E34">
        <v>4</v>
      </c>
      <c r="F34">
        <v>54</v>
      </c>
      <c r="G34">
        <v>87.06</v>
      </c>
      <c r="J34" s="2">
        <f t="shared" si="0"/>
        <v>41</v>
      </c>
    </row>
    <row r="35" spans="4:10">
      <c r="D35">
        <v>67</v>
      </c>
      <c r="E35">
        <v>5</v>
      </c>
      <c r="F35">
        <v>54</v>
      </c>
      <c r="G35">
        <v>66.89</v>
      </c>
      <c r="J35" s="2">
        <f t="shared" si="0"/>
        <v>34</v>
      </c>
    </row>
    <row r="36" spans="4:10">
      <c r="D36">
        <v>69</v>
      </c>
      <c r="E36">
        <v>1</v>
      </c>
      <c r="F36">
        <v>55</v>
      </c>
      <c r="G36">
        <v>313.32</v>
      </c>
      <c r="H36" s="2">
        <f>POWER(2,0.07*F36+4.42)</f>
        <v>308.68680388883462</v>
      </c>
      <c r="J36" s="2">
        <f t="shared" si="0"/>
        <v>155</v>
      </c>
    </row>
    <row r="37" spans="4:10">
      <c r="D37">
        <v>69</v>
      </c>
      <c r="E37">
        <v>2</v>
      </c>
      <c r="F37">
        <v>55</v>
      </c>
      <c r="G37">
        <v>170.89</v>
      </c>
      <c r="J37" s="2">
        <f t="shared" si="0"/>
        <v>79</v>
      </c>
    </row>
    <row r="38" spans="4:10">
      <c r="D38">
        <v>69</v>
      </c>
      <c r="E38">
        <v>3</v>
      </c>
      <c r="F38">
        <v>55</v>
      </c>
      <c r="G38">
        <v>117.64</v>
      </c>
      <c r="J38" s="2">
        <f t="shared" si="0"/>
        <v>53</v>
      </c>
    </row>
    <row r="39" spans="4:10">
      <c r="D39">
        <v>69</v>
      </c>
      <c r="E39">
        <v>4</v>
      </c>
      <c r="F39">
        <v>55</v>
      </c>
      <c r="G39">
        <v>90.5</v>
      </c>
      <c r="J39" s="2">
        <f t="shared" si="0"/>
        <v>40</v>
      </c>
    </row>
    <row r="40" spans="4:10">
      <c r="D40">
        <v>69</v>
      </c>
      <c r="E40">
        <v>5</v>
      </c>
      <c r="F40">
        <v>55</v>
      </c>
      <c r="G40">
        <v>74.08</v>
      </c>
      <c r="J40" s="2">
        <f t="shared" si="0"/>
        <v>33</v>
      </c>
    </row>
    <row r="41" spans="4:10">
      <c r="D41">
        <v>71</v>
      </c>
      <c r="E41">
        <v>1</v>
      </c>
      <c r="F41">
        <v>56</v>
      </c>
      <c r="G41">
        <v>330.4</v>
      </c>
      <c r="H41" s="2">
        <f>POWER(2,0.07*F41+4.42)</f>
        <v>324.03368805639167</v>
      </c>
      <c r="J41" s="2">
        <f t="shared" si="0"/>
        <v>155</v>
      </c>
    </row>
    <row r="42" spans="4:10">
      <c r="D42">
        <v>71</v>
      </c>
      <c r="E42">
        <v>2</v>
      </c>
      <c r="F42">
        <v>56</v>
      </c>
      <c r="G42">
        <v>179.66</v>
      </c>
      <c r="J42" s="2">
        <f t="shared" si="0"/>
        <v>78</v>
      </c>
    </row>
    <row r="43" spans="4:10">
      <c r="D43">
        <v>71</v>
      </c>
      <c r="E43">
        <v>3</v>
      </c>
      <c r="F43">
        <v>56</v>
      </c>
      <c r="G43">
        <v>120.32</v>
      </c>
      <c r="J43" s="2">
        <f t="shared" si="0"/>
        <v>54</v>
      </c>
    </row>
    <row r="44" spans="4:10">
      <c r="D44">
        <v>71</v>
      </c>
      <c r="E44">
        <v>4</v>
      </c>
      <c r="F44">
        <v>56</v>
      </c>
      <c r="G44">
        <v>95.56</v>
      </c>
      <c r="J44" s="2">
        <f t="shared" si="0"/>
        <v>40</v>
      </c>
    </row>
    <row r="45" spans="4:10">
      <c r="D45">
        <v>71</v>
      </c>
      <c r="E45">
        <v>5</v>
      </c>
      <c r="F45">
        <v>56</v>
      </c>
      <c r="G45">
        <v>77.260000000000005</v>
      </c>
      <c r="J45" s="2">
        <f t="shared" si="0"/>
        <v>33</v>
      </c>
    </row>
    <row r="46" spans="4:10">
      <c r="D46">
        <v>73</v>
      </c>
      <c r="E46">
        <v>1</v>
      </c>
      <c r="F46">
        <v>57</v>
      </c>
      <c r="G46">
        <v>348.31</v>
      </c>
      <c r="H46" s="2">
        <f>POWER(2,0.07*F46+4.42)</f>
        <v>340.14356840870698</v>
      </c>
      <c r="J46" s="2">
        <f t="shared" si="0"/>
        <v>155</v>
      </c>
    </row>
    <row r="47" spans="4:10">
      <c r="D47">
        <v>73</v>
      </c>
      <c r="E47">
        <v>2</v>
      </c>
      <c r="F47">
        <v>57</v>
      </c>
      <c r="G47">
        <v>184.62</v>
      </c>
      <c r="J47" s="2">
        <f t="shared" si="0"/>
        <v>79</v>
      </c>
    </row>
    <row r="48" spans="4:10">
      <c r="D48">
        <v>73</v>
      </c>
      <c r="E48">
        <v>3</v>
      </c>
      <c r="F48">
        <v>57</v>
      </c>
      <c r="G48">
        <v>132.85</v>
      </c>
      <c r="J48" s="2">
        <f t="shared" si="0"/>
        <v>53</v>
      </c>
    </row>
    <row r="49" spans="4:10">
      <c r="D49">
        <v>73</v>
      </c>
      <c r="E49">
        <v>4</v>
      </c>
      <c r="F49">
        <v>57</v>
      </c>
      <c r="G49">
        <v>99.49</v>
      </c>
      <c r="J49" s="2">
        <f t="shared" si="0"/>
        <v>41</v>
      </c>
    </row>
    <row r="50" spans="4:10">
      <c r="D50">
        <v>73</v>
      </c>
      <c r="E50">
        <v>5</v>
      </c>
      <c r="F50">
        <v>57</v>
      </c>
      <c r="G50">
        <v>79.56</v>
      </c>
      <c r="J50" s="2">
        <f t="shared" si="0"/>
        <v>33</v>
      </c>
    </row>
    <row r="51" spans="4:10">
      <c r="D51">
        <v>75</v>
      </c>
      <c r="E51">
        <v>1</v>
      </c>
      <c r="F51">
        <v>58</v>
      </c>
      <c r="G51">
        <v>377.44</v>
      </c>
      <c r="H51" s="2">
        <f>POWER(2,0.07*F51+4.42)</f>
        <v>357.05437858570389</v>
      </c>
      <c r="J51" s="2">
        <f t="shared" si="0"/>
        <v>155</v>
      </c>
    </row>
    <row r="52" spans="4:10">
      <c r="D52">
        <v>75</v>
      </c>
      <c r="E52">
        <v>2</v>
      </c>
      <c r="F52">
        <v>58</v>
      </c>
      <c r="G52">
        <v>200.6</v>
      </c>
      <c r="J52" s="2">
        <f t="shared" si="0"/>
        <v>78</v>
      </c>
    </row>
    <row r="53" spans="4:10">
      <c r="D53">
        <v>75</v>
      </c>
      <c r="E53">
        <v>3</v>
      </c>
      <c r="F53">
        <v>58</v>
      </c>
      <c r="G53">
        <v>137.9</v>
      </c>
      <c r="J53" s="2">
        <f t="shared" si="0"/>
        <v>53</v>
      </c>
    </row>
    <row r="54" spans="4:10">
      <c r="D54">
        <v>75</v>
      </c>
      <c r="E54">
        <v>4</v>
      </c>
      <c r="F54">
        <v>58</v>
      </c>
      <c r="G54">
        <v>114.05</v>
      </c>
      <c r="J54" s="2">
        <f t="shared" si="0"/>
        <v>41</v>
      </c>
    </row>
    <row r="55" spans="4:10">
      <c r="D55">
        <v>75</v>
      </c>
      <c r="E55">
        <v>5</v>
      </c>
      <c r="F55">
        <v>58</v>
      </c>
      <c r="G55">
        <v>83.37</v>
      </c>
      <c r="J55" s="2">
        <f t="shared" si="0"/>
        <v>32</v>
      </c>
    </row>
    <row r="56" spans="4:10">
      <c r="D56">
        <v>77</v>
      </c>
      <c r="E56">
        <v>1</v>
      </c>
      <c r="F56">
        <v>60</v>
      </c>
      <c r="G56">
        <v>396.36</v>
      </c>
      <c r="H56" s="2">
        <f>POWER(2,0.07*F56+4.42)</f>
        <v>393.44004640973134</v>
      </c>
      <c r="J56" s="2">
        <f t="shared" si="0"/>
        <v>153</v>
      </c>
    </row>
    <row r="57" spans="4:10">
      <c r="D57">
        <v>77</v>
      </c>
      <c r="E57">
        <v>2</v>
      </c>
      <c r="F57">
        <v>60</v>
      </c>
      <c r="G57">
        <v>213.25</v>
      </c>
      <c r="J57" s="2">
        <f t="shared" si="0"/>
        <v>77</v>
      </c>
    </row>
    <row r="58" spans="4:10">
      <c r="D58">
        <v>77</v>
      </c>
      <c r="E58">
        <v>3</v>
      </c>
      <c r="F58">
        <v>60</v>
      </c>
      <c r="G58">
        <v>147.6</v>
      </c>
      <c r="J58" s="2">
        <f t="shared" si="0"/>
        <v>52</v>
      </c>
    </row>
    <row r="59" spans="4:10">
      <c r="D59">
        <v>77</v>
      </c>
      <c r="E59">
        <v>4</v>
      </c>
      <c r="F59">
        <v>60</v>
      </c>
      <c r="G59">
        <v>120.35</v>
      </c>
      <c r="J59" s="2">
        <f t="shared" si="0"/>
        <v>40</v>
      </c>
    </row>
    <row r="60" spans="4:10">
      <c r="D60">
        <v>77</v>
      </c>
      <c r="E60">
        <v>5</v>
      </c>
      <c r="F60">
        <v>60</v>
      </c>
      <c r="G60">
        <v>93.27</v>
      </c>
      <c r="J60" s="2">
        <f t="shared" si="0"/>
        <v>32</v>
      </c>
    </row>
    <row r="61" spans="4:10">
      <c r="D61">
        <v>79</v>
      </c>
      <c r="E61">
        <v>1</v>
      </c>
      <c r="F61">
        <v>62</v>
      </c>
      <c r="G61">
        <v>429.7</v>
      </c>
      <c r="H61" s="2">
        <f>POWER(2,0.07*F61+4.42)</f>
        <v>433.53359992961418</v>
      </c>
      <c r="J61" s="2">
        <f t="shared" si="0"/>
        <v>151</v>
      </c>
    </row>
    <row r="62" spans="4:10">
      <c r="D62">
        <v>79</v>
      </c>
      <c r="E62">
        <v>2</v>
      </c>
      <c r="F62">
        <v>62</v>
      </c>
      <c r="G62">
        <v>231.55</v>
      </c>
      <c r="J62" s="2">
        <f t="shared" si="0"/>
        <v>76</v>
      </c>
    </row>
    <row r="63" spans="4:10">
      <c r="D63">
        <v>79</v>
      </c>
      <c r="E63">
        <v>3</v>
      </c>
      <c r="F63">
        <v>62</v>
      </c>
      <c r="G63">
        <v>163.11000000000001</v>
      </c>
      <c r="J63" s="2">
        <f t="shared" si="0"/>
        <v>51</v>
      </c>
    </row>
    <row r="64" spans="4:10">
      <c r="D64">
        <v>79</v>
      </c>
      <c r="E64">
        <v>4</v>
      </c>
      <c r="F64">
        <v>62</v>
      </c>
      <c r="G64">
        <v>128.47</v>
      </c>
      <c r="J64" s="2">
        <f t="shared" si="0"/>
        <v>40</v>
      </c>
    </row>
    <row r="65" spans="4:10">
      <c r="D65">
        <v>79</v>
      </c>
      <c r="E65">
        <v>5</v>
      </c>
      <c r="F65">
        <v>62</v>
      </c>
      <c r="G65">
        <v>102.83</v>
      </c>
      <c r="J65" s="2">
        <f t="shared" si="0"/>
        <v>31</v>
      </c>
    </row>
    <row r="66" spans="4:10">
      <c r="D66">
        <v>81</v>
      </c>
      <c r="E66">
        <v>1</v>
      </c>
      <c r="F66">
        <v>64</v>
      </c>
      <c r="G66">
        <v>470.77</v>
      </c>
      <c r="H66" s="2">
        <f>POWER(2,0.07*F66+4.42)</f>
        <v>477.71289166684534</v>
      </c>
      <c r="J66" s="2">
        <f t="shared" si="0"/>
        <v>149</v>
      </c>
    </row>
    <row r="67" spans="4:10">
      <c r="D67">
        <v>81</v>
      </c>
      <c r="E67">
        <v>2</v>
      </c>
      <c r="F67">
        <v>64</v>
      </c>
      <c r="G67">
        <v>262.41000000000003</v>
      </c>
      <c r="J67" s="2">
        <f t="shared" si="0"/>
        <v>75</v>
      </c>
    </row>
    <row r="68" spans="4:10">
      <c r="D68">
        <v>81</v>
      </c>
      <c r="E68">
        <v>3</v>
      </c>
      <c r="F68">
        <v>64</v>
      </c>
      <c r="G68">
        <v>175.23</v>
      </c>
      <c r="J68" s="2">
        <f t="shared" si="0"/>
        <v>51</v>
      </c>
    </row>
    <row r="69" spans="4:10">
      <c r="D69">
        <v>81</v>
      </c>
      <c r="E69">
        <v>4</v>
      </c>
      <c r="F69">
        <v>64</v>
      </c>
      <c r="G69">
        <v>143.59</v>
      </c>
      <c r="J69" s="2">
        <f t="shared" si="0"/>
        <v>39</v>
      </c>
    </row>
    <row r="70" spans="4:10">
      <c r="D70">
        <v>81</v>
      </c>
      <c r="E70">
        <v>5</v>
      </c>
      <c r="F70">
        <v>64</v>
      </c>
      <c r="G70">
        <v>117.63</v>
      </c>
      <c r="J70" s="2">
        <f t="shared" si="0"/>
        <v>31</v>
      </c>
    </row>
    <row r="71" spans="4:10">
      <c r="D71">
        <v>83</v>
      </c>
      <c r="E71">
        <v>1</v>
      </c>
      <c r="F71">
        <v>66</v>
      </c>
      <c r="G71">
        <v>776.68</v>
      </c>
      <c r="H71" s="2">
        <f>POWER(2,0.063*F71+5.46)</f>
        <v>785.7900011524539</v>
      </c>
      <c r="J71" s="2">
        <f t="shared" si="0"/>
        <v>147</v>
      </c>
    </row>
    <row r="72" spans="4:10">
      <c r="D72">
        <v>83</v>
      </c>
      <c r="E72">
        <v>2</v>
      </c>
      <c r="F72">
        <v>66</v>
      </c>
      <c r="G72">
        <v>411.47</v>
      </c>
      <c r="J72" s="2">
        <f t="shared" si="0"/>
        <v>74</v>
      </c>
    </row>
    <row r="73" spans="4:10">
      <c r="D73">
        <v>83</v>
      </c>
      <c r="E73">
        <v>3</v>
      </c>
      <c r="F73">
        <v>66</v>
      </c>
      <c r="G73">
        <v>288.62</v>
      </c>
      <c r="J73" s="2">
        <f t="shared" si="0"/>
        <v>50</v>
      </c>
    </row>
    <row r="74" spans="4:10">
      <c r="D74">
        <v>83</v>
      </c>
      <c r="E74">
        <v>4</v>
      </c>
      <c r="F74">
        <v>66</v>
      </c>
      <c r="G74">
        <v>234.65</v>
      </c>
      <c r="J74" s="2">
        <f t="shared" ref="J74:J137" si="1">2*(ROUNDDOWN((D74-F74+12)/E74,0)+1) + (ROUNDDOWN((180-D74-12)/E74,0)+1) + 1</f>
        <v>39</v>
      </c>
    </row>
    <row r="75" spans="4:10">
      <c r="D75">
        <v>83</v>
      </c>
      <c r="E75">
        <v>5</v>
      </c>
      <c r="F75">
        <v>66</v>
      </c>
      <c r="G75">
        <v>181.17</v>
      </c>
      <c r="J75" s="2">
        <f t="shared" si="1"/>
        <v>31</v>
      </c>
    </row>
    <row r="76" spans="4:10">
      <c r="D76">
        <v>85</v>
      </c>
      <c r="E76">
        <v>1</v>
      </c>
      <c r="F76">
        <v>68</v>
      </c>
      <c r="G76">
        <v>872.69</v>
      </c>
      <c r="H76" s="2">
        <f>POWER(2,0.063*F76+5.46)</f>
        <v>857.5042432086284</v>
      </c>
      <c r="J76" s="2">
        <f t="shared" si="1"/>
        <v>145</v>
      </c>
    </row>
    <row r="77" spans="4:10">
      <c r="D77">
        <v>85</v>
      </c>
      <c r="E77">
        <v>2</v>
      </c>
      <c r="F77">
        <v>68</v>
      </c>
      <c r="G77">
        <v>468.47</v>
      </c>
      <c r="J77" s="2">
        <f t="shared" si="1"/>
        <v>73</v>
      </c>
    </row>
    <row r="78" spans="4:10">
      <c r="D78">
        <v>85</v>
      </c>
      <c r="E78">
        <v>3</v>
      </c>
      <c r="F78">
        <v>68</v>
      </c>
      <c r="G78">
        <v>323.73</v>
      </c>
      <c r="J78" s="2">
        <f t="shared" si="1"/>
        <v>49</v>
      </c>
    </row>
    <row r="79" spans="4:10">
      <c r="D79">
        <v>85</v>
      </c>
      <c r="E79">
        <v>4</v>
      </c>
      <c r="F79">
        <v>68</v>
      </c>
      <c r="G79">
        <v>260.63</v>
      </c>
      <c r="J79" s="2">
        <f t="shared" si="1"/>
        <v>38</v>
      </c>
    </row>
    <row r="80" spans="4:10">
      <c r="D80">
        <v>85</v>
      </c>
      <c r="E80">
        <v>5</v>
      </c>
      <c r="F80">
        <v>68</v>
      </c>
      <c r="G80">
        <v>207.35</v>
      </c>
      <c r="J80" s="2">
        <f t="shared" si="1"/>
        <v>30</v>
      </c>
    </row>
    <row r="81" spans="4:10">
      <c r="D81">
        <v>87</v>
      </c>
      <c r="E81">
        <v>1</v>
      </c>
      <c r="F81">
        <v>69</v>
      </c>
      <c r="G81">
        <v>931.81</v>
      </c>
      <c r="H81" s="2">
        <f>POWER(2,0.063*F81+5.46)</f>
        <v>895.77959926356164</v>
      </c>
      <c r="J81" s="2">
        <f t="shared" si="1"/>
        <v>145</v>
      </c>
    </row>
    <row r="82" spans="4:10">
      <c r="D82">
        <v>87</v>
      </c>
      <c r="E82">
        <v>2</v>
      </c>
      <c r="F82">
        <v>69</v>
      </c>
      <c r="G82">
        <v>501.62</v>
      </c>
      <c r="J82" s="2">
        <f t="shared" si="1"/>
        <v>74</v>
      </c>
    </row>
    <row r="83" spans="4:10">
      <c r="D83">
        <v>87</v>
      </c>
      <c r="E83">
        <v>3</v>
      </c>
      <c r="F83">
        <v>69</v>
      </c>
      <c r="G83">
        <v>341.9</v>
      </c>
      <c r="J83" s="2">
        <f t="shared" si="1"/>
        <v>51</v>
      </c>
    </row>
    <row r="84" spans="4:10">
      <c r="D84">
        <v>87</v>
      </c>
      <c r="E84">
        <v>4</v>
      </c>
      <c r="F84">
        <v>69</v>
      </c>
      <c r="G84">
        <v>278.76</v>
      </c>
      <c r="J84" s="2">
        <f t="shared" si="1"/>
        <v>38</v>
      </c>
    </row>
    <row r="85" spans="4:10">
      <c r="D85">
        <v>87</v>
      </c>
      <c r="E85">
        <v>5</v>
      </c>
      <c r="F85">
        <v>69</v>
      </c>
      <c r="G85">
        <v>227.48</v>
      </c>
      <c r="J85" s="2">
        <f t="shared" si="1"/>
        <v>32</v>
      </c>
    </row>
    <row r="86" spans="4:10">
      <c r="D86">
        <v>89</v>
      </c>
      <c r="E86">
        <v>1</v>
      </c>
      <c r="F86">
        <v>71</v>
      </c>
      <c r="G86">
        <v>1048.23</v>
      </c>
      <c r="H86" s="2">
        <f>POWER(2,0.063*F86+5.46)</f>
        <v>977.53191847906999</v>
      </c>
      <c r="J86" s="2">
        <f t="shared" si="1"/>
        <v>143</v>
      </c>
    </row>
    <row r="87" spans="4:10">
      <c r="D87">
        <v>89</v>
      </c>
      <c r="E87">
        <v>2</v>
      </c>
      <c r="F87">
        <v>71</v>
      </c>
      <c r="G87">
        <v>548.54</v>
      </c>
      <c r="J87" s="2">
        <f t="shared" si="1"/>
        <v>73</v>
      </c>
    </row>
    <row r="88" spans="4:10">
      <c r="D88">
        <v>89</v>
      </c>
      <c r="E88">
        <v>3</v>
      </c>
      <c r="F88">
        <v>71</v>
      </c>
      <c r="G88">
        <v>385.23</v>
      </c>
      <c r="J88" s="2">
        <f t="shared" si="1"/>
        <v>50</v>
      </c>
    </row>
    <row r="89" spans="4:10">
      <c r="D89">
        <v>89</v>
      </c>
      <c r="E89">
        <v>4</v>
      </c>
      <c r="F89">
        <v>71</v>
      </c>
      <c r="G89">
        <v>301.74</v>
      </c>
      <c r="J89" s="2">
        <f t="shared" si="1"/>
        <v>37</v>
      </c>
    </row>
    <row r="90" spans="4:10">
      <c r="D90">
        <v>89</v>
      </c>
      <c r="E90">
        <v>5</v>
      </c>
      <c r="F90">
        <v>71</v>
      </c>
      <c r="G90">
        <v>247.07</v>
      </c>
      <c r="J90" s="2">
        <f t="shared" si="1"/>
        <v>31</v>
      </c>
    </row>
    <row r="91" spans="4:10">
      <c r="D91">
        <v>91</v>
      </c>
      <c r="E91">
        <v>1</v>
      </c>
      <c r="F91">
        <v>73</v>
      </c>
      <c r="G91">
        <v>1109.48</v>
      </c>
      <c r="H91" s="2">
        <f>POWER(2,0.063*F91+5.46)</f>
        <v>1066.745271304419</v>
      </c>
      <c r="J91" s="2">
        <f t="shared" si="1"/>
        <v>141</v>
      </c>
    </row>
    <row r="92" spans="4:10">
      <c r="D92">
        <v>91</v>
      </c>
      <c r="E92">
        <v>2</v>
      </c>
      <c r="F92">
        <v>73</v>
      </c>
      <c r="G92">
        <v>589.46</v>
      </c>
      <c r="J92" s="2">
        <f t="shared" si="1"/>
        <v>72</v>
      </c>
    </row>
    <row r="93" spans="4:10">
      <c r="D93">
        <v>91</v>
      </c>
      <c r="E93">
        <v>3</v>
      </c>
      <c r="F93">
        <v>73</v>
      </c>
      <c r="G93">
        <v>411.34</v>
      </c>
      <c r="J93" s="2">
        <f t="shared" si="1"/>
        <v>49</v>
      </c>
    </row>
    <row r="94" spans="4:10">
      <c r="D94">
        <v>91</v>
      </c>
      <c r="E94">
        <v>4</v>
      </c>
      <c r="F94">
        <v>73</v>
      </c>
      <c r="G94">
        <v>326.97000000000003</v>
      </c>
      <c r="J94" s="2">
        <f t="shared" si="1"/>
        <v>37</v>
      </c>
    </row>
    <row r="95" spans="4:10">
      <c r="D95">
        <v>91</v>
      </c>
      <c r="E95">
        <v>5</v>
      </c>
      <c r="F95">
        <v>73</v>
      </c>
      <c r="G95">
        <v>266.69</v>
      </c>
      <c r="J95" s="2">
        <f t="shared" si="1"/>
        <v>31</v>
      </c>
    </row>
    <row r="96" spans="4:10">
      <c r="D96">
        <v>93</v>
      </c>
      <c r="E96">
        <v>1</v>
      </c>
      <c r="F96">
        <v>75</v>
      </c>
      <c r="G96">
        <v>1202.82</v>
      </c>
      <c r="H96" s="2">
        <f>POWER(2,0.063*F96+5.46)</f>
        <v>1164.1005805936775</v>
      </c>
      <c r="J96" s="2">
        <f t="shared" si="1"/>
        <v>139</v>
      </c>
    </row>
    <row r="97" spans="4:10">
      <c r="D97">
        <v>93</v>
      </c>
      <c r="E97">
        <v>2</v>
      </c>
      <c r="F97">
        <v>75</v>
      </c>
      <c r="G97">
        <v>636.19000000000005</v>
      </c>
      <c r="J97" s="2">
        <f t="shared" si="1"/>
        <v>71</v>
      </c>
    </row>
    <row r="98" spans="4:10">
      <c r="D98">
        <v>93</v>
      </c>
      <c r="E98">
        <v>3</v>
      </c>
      <c r="F98">
        <v>75</v>
      </c>
      <c r="G98">
        <v>438.65</v>
      </c>
      <c r="J98" s="2">
        <f t="shared" si="1"/>
        <v>49</v>
      </c>
    </row>
    <row r="99" spans="4:10">
      <c r="D99">
        <v>93</v>
      </c>
      <c r="E99">
        <v>4</v>
      </c>
      <c r="F99">
        <v>75</v>
      </c>
      <c r="G99">
        <v>352.46</v>
      </c>
      <c r="J99" s="2">
        <f t="shared" si="1"/>
        <v>36</v>
      </c>
    </row>
    <row r="100" spans="4:10">
      <c r="D100">
        <v>93</v>
      </c>
      <c r="E100">
        <v>5</v>
      </c>
      <c r="F100">
        <v>75</v>
      </c>
      <c r="G100">
        <v>284.38</v>
      </c>
      <c r="J100" s="2">
        <f t="shared" si="1"/>
        <v>31</v>
      </c>
    </row>
    <row r="101" spans="4:10">
      <c r="D101">
        <v>95</v>
      </c>
      <c r="E101">
        <v>1</v>
      </c>
      <c r="F101">
        <v>77</v>
      </c>
      <c r="G101">
        <v>1276.1099999999999</v>
      </c>
      <c r="H101" s="2">
        <f>POWER(2,0.063*F101+5.46)</f>
        <v>1270.3409128605579</v>
      </c>
      <c r="J101" s="2">
        <f t="shared" si="1"/>
        <v>137</v>
      </c>
    </row>
    <row r="102" spans="4:10">
      <c r="D102">
        <v>95</v>
      </c>
      <c r="E102">
        <v>2</v>
      </c>
      <c r="F102">
        <v>77</v>
      </c>
      <c r="G102">
        <v>679.22</v>
      </c>
      <c r="J102" s="2">
        <f t="shared" si="1"/>
        <v>70</v>
      </c>
    </row>
    <row r="103" spans="4:10">
      <c r="D103">
        <v>95</v>
      </c>
      <c r="E103">
        <v>3</v>
      </c>
      <c r="F103">
        <v>77</v>
      </c>
      <c r="G103">
        <v>479.17</v>
      </c>
      <c r="J103" s="2">
        <f t="shared" si="1"/>
        <v>48</v>
      </c>
    </row>
    <row r="104" spans="4:10">
      <c r="D104">
        <v>95</v>
      </c>
      <c r="E104">
        <v>4</v>
      </c>
      <c r="F104">
        <v>77</v>
      </c>
      <c r="G104">
        <v>387.07</v>
      </c>
      <c r="J104" s="2">
        <f t="shared" si="1"/>
        <v>36</v>
      </c>
    </row>
    <row r="105" spans="4:10">
      <c r="D105">
        <v>95</v>
      </c>
      <c r="E105">
        <v>5</v>
      </c>
      <c r="F105">
        <v>77</v>
      </c>
      <c r="G105">
        <v>313.14999999999998</v>
      </c>
      <c r="J105" s="2">
        <f t="shared" si="1"/>
        <v>30</v>
      </c>
    </row>
    <row r="106" spans="4:10">
      <c r="D106">
        <v>97</v>
      </c>
      <c r="E106">
        <v>1</v>
      </c>
      <c r="F106">
        <v>79</v>
      </c>
      <c r="G106">
        <v>1403.7</v>
      </c>
      <c r="H106" s="2">
        <f>POWER(2,0.063*F106+5.46)</f>
        <v>1386.2771497497183</v>
      </c>
      <c r="J106" s="2">
        <f t="shared" si="1"/>
        <v>135</v>
      </c>
    </row>
    <row r="107" spans="4:10">
      <c r="D107">
        <v>97</v>
      </c>
      <c r="E107">
        <v>2</v>
      </c>
      <c r="F107">
        <v>79</v>
      </c>
      <c r="G107">
        <v>742.55</v>
      </c>
      <c r="J107" s="2">
        <f t="shared" si="1"/>
        <v>69</v>
      </c>
    </row>
    <row r="108" spans="4:10">
      <c r="D108">
        <v>97</v>
      </c>
      <c r="E108">
        <v>3</v>
      </c>
      <c r="F108">
        <v>79</v>
      </c>
      <c r="G108">
        <v>525.36</v>
      </c>
      <c r="J108" s="2">
        <f t="shared" si="1"/>
        <v>47</v>
      </c>
    </row>
    <row r="109" spans="4:10">
      <c r="D109">
        <v>97</v>
      </c>
      <c r="E109">
        <v>4</v>
      </c>
      <c r="F109">
        <v>79</v>
      </c>
      <c r="G109">
        <v>415.59</v>
      </c>
      <c r="J109" s="2">
        <f t="shared" si="1"/>
        <v>35</v>
      </c>
    </row>
    <row r="110" spans="4:10">
      <c r="D110">
        <v>97</v>
      </c>
      <c r="E110">
        <v>5</v>
      </c>
      <c r="F110">
        <v>79</v>
      </c>
      <c r="G110">
        <v>342.83</v>
      </c>
      <c r="J110" s="2">
        <f t="shared" si="1"/>
        <v>30</v>
      </c>
    </row>
    <row r="111" spans="4:10">
      <c r="D111">
        <v>99</v>
      </c>
      <c r="E111">
        <v>1</v>
      </c>
      <c r="F111">
        <v>81</v>
      </c>
      <c r="G111">
        <v>1533.72</v>
      </c>
      <c r="H111" s="2">
        <f>POWER(2,0.063*F111+5.46)</f>
        <v>1512.7941771085405</v>
      </c>
      <c r="J111" s="2">
        <f t="shared" si="1"/>
        <v>133</v>
      </c>
    </row>
    <row r="112" spans="4:10">
      <c r="D112">
        <v>99</v>
      </c>
      <c r="E112">
        <v>2</v>
      </c>
      <c r="F112">
        <v>81</v>
      </c>
      <c r="G112">
        <v>830.1</v>
      </c>
      <c r="J112" s="2">
        <f t="shared" si="1"/>
        <v>68</v>
      </c>
    </row>
    <row r="113" spans="4:10">
      <c r="D113">
        <v>99</v>
      </c>
      <c r="E113">
        <v>3</v>
      </c>
      <c r="F113">
        <v>81</v>
      </c>
      <c r="G113">
        <v>568.75</v>
      </c>
      <c r="J113" s="2">
        <f t="shared" si="1"/>
        <v>47</v>
      </c>
    </row>
    <row r="114" spans="4:10">
      <c r="D114">
        <v>99</v>
      </c>
      <c r="E114">
        <v>4</v>
      </c>
      <c r="F114">
        <v>81</v>
      </c>
      <c r="G114">
        <v>468.65</v>
      </c>
      <c r="J114" s="2">
        <f t="shared" si="1"/>
        <v>35</v>
      </c>
    </row>
    <row r="115" spans="4:10">
      <c r="D115">
        <v>99</v>
      </c>
      <c r="E115">
        <v>5</v>
      </c>
      <c r="F115">
        <v>81</v>
      </c>
      <c r="G115">
        <v>374.76</v>
      </c>
      <c r="J115" s="2">
        <f t="shared" si="1"/>
        <v>29</v>
      </c>
    </row>
    <row r="116" spans="4:10">
      <c r="D116">
        <v>101</v>
      </c>
      <c r="E116">
        <v>1</v>
      </c>
      <c r="F116">
        <v>82</v>
      </c>
      <c r="G116">
        <v>1649.36</v>
      </c>
      <c r="H116" s="2">
        <f>POWER(2,0.063*F116+5.46)</f>
        <v>1580.3188992603502</v>
      </c>
      <c r="J116" s="2">
        <f t="shared" si="1"/>
        <v>133</v>
      </c>
    </row>
    <row r="117" spans="4:10">
      <c r="D117">
        <v>101</v>
      </c>
      <c r="E117">
        <v>2</v>
      </c>
      <c r="F117">
        <v>82</v>
      </c>
      <c r="G117">
        <v>894.69</v>
      </c>
      <c r="J117" s="2">
        <f t="shared" si="1"/>
        <v>67</v>
      </c>
    </row>
    <row r="118" spans="4:10">
      <c r="D118">
        <v>101</v>
      </c>
      <c r="E118">
        <v>3</v>
      </c>
      <c r="F118">
        <v>82</v>
      </c>
      <c r="G118">
        <v>627.54</v>
      </c>
      <c r="J118" s="2">
        <f t="shared" si="1"/>
        <v>46</v>
      </c>
    </row>
    <row r="119" spans="4:10">
      <c r="D119">
        <v>101</v>
      </c>
      <c r="E119">
        <v>4</v>
      </c>
      <c r="F119">
        <v>82</v>
      </c>
      <c r="G119">
        <v>484.21</v>
      </c>
      <c r="J119" s="2">
        <f t="shared" si="1"/>
        <v>34</v>
      </c>
    </row>
    <row r="120" spans="4:10">
      <c r="D120">
        <v>101</v>
      </c>
      <c r="E120">
        <v>5</v>
      </c>
      <c r="F120">
        <v>82</v>
      </c>
      <c r="G120">
        <v>422</v>
      </c>
      <c r="J120" s="2">
        <f t="shared" si="1"/>
        <v>29</v>
      </c>
    </row>
    <row r="121" spans="4:10">
      <c r="D121">
        <v>103</v>
      </c>
      <c r="E121">
        <v>1</v>
      </c>
      <c r="F121">
        <v>84</v>
      </c>
      <c r="G121">
        <v>1879.88</v>
      </c>
      <c r="H121" s="2">
        <f>POWER(2,0.146*F121-1.44)</f>
        <v>1812.7949098589083</v>
      </c>
      <c r="J121" s="2">
        <f t="shared" si="1"/>
        <v>131</v>
      </c>
    </row>
    <row r="122" spans="4:10">
      <c r="D122">
        <v>103</v>
      </c>
      <c r="E122">
        <v>2</v>
      </c>
      <c r="F122">
        <v>84</v>
      </c>
      <c r="G122">
        <v>1011.11</v>
      </c>
      <c r="J122" s="2">
        <f t="shared" si="1"/>
        <v>66</v>
      </c>
    </row>
    <row r="123" spans="4:10">
      <c r="D123">
        <v>103</v>
      </c>
      <c r="E123">
        <v>3</v>
      </c>
      <c r="F123">
        <v>84</v>
      </c>
      <c r="G123">
        <v>706.32</v>
      </c>
      <c r="J123" s="2">
        <f t="shared" si="1"/>
        <v>45</v>
      </c>
    </row>
    <row r="124" spans="4:10">
      <c r="D124">
        <v>103</v>
      </c>
      <c r="E124">
        <v>4</v>
      </c>
      <c r="F124">
        <v>84</v>
      </c>
      <c r="G124">
        <v>568.65</v>
      </c>
      <c r="J124" s="2">
        <f t="shared" si="1"/>
        <v>34</v>
      </c>
    </row>
    <row r="125" spans="4:10">
      <c r="D125">
        <v>103</v>
      </c>
      <c r="E125">
        <v>5</v>
      </c>
      <c r="F125">
        <v>84</v>
      </c>
      <c r="G125">
        <v>473.59</v>
      </c>
      <c r="J125" s="2">
        <f t="shared" si="1"/>
        <v>29</v>
      </c>
    </row>
    <row r="126" spans="4:10">
      <c r="D126">
        <v>105</v>
      </c>
      <c r="E126">
        <v>1</v>
      </c>
      <c r="F126">
        <v>86</v>
      </c>
      <c r="G126">
        <v>2200.37</v>
      </c>
      <c r="H126" s="2">
        <f>POWER(2,0.146*F126-1.44)</f>
        <v>2219.4707800981087</v>
      </c>
      <c r="J126" s="2">
        <f t="shared" si="1"/>
        <v>129</v>
      </c>
    </row>
    <row r="127" spans="4:10">
      <c r="D127">
        <v>105</v>
      </c>
      <c r="E127">
        <v>2</v>
      </c>
      <c r="F127">
        <v>86</v>
      </c>
      <c r="G127">
        <v>1187.3599999999999</v>
      </c>
      <c r="J127" s="2">
        <f t="shared" si="1"/>
        <v>65</v>
      </c>
    </row>
    <row r="128" spans="4:10">
      <c r="D128">
        <v>105</v>
      </c>
      <c r="E128">
        <v>3</v>
      </c>
      <c r="F128">
        <v>86</v>
      </c>
      <c r="G128">
        <v>842</v>
      </c>
      <c r="J128" s="2">
        <f t="shared" si="1"/>
        <v>45</v>
      </c>
    </row>
    <row r="129" spans="4:11">
      <c r="D129">
        <v>105</v>
      </c>
      <c r="E129">
        <v>4</v>
      </c>
      <c r="F129">
        <v>86</v>
      </c>
      <c r="G129">
        <v>655.73</v>
      </c>
      <c r="J129" s="2">
        <f t="shared" si="1"/>
        <v>33</v>
      </c>
    </row>
    <row r="130" spans="4:11">
      <c r="D130">
        <v>105</v>
      </c>
      <c r="E130">
        <v>5</v>
      </c>
      <c r="F130">
        <v>86</v>
      </c>
      <c r="G130">
        <v>578.22</v>
      </c>
      <c r="J130" s="2">
        <f t="shared" si="1"/>
        <v>28</v>
      </c>
    </row>
    <row r="131" spans="4:11">
      <c r="D131">
        <v>107</v>
      </c>
      <c r="E131">
        <v>1</v>
      </c>
      <c r="F131">
        <v>88</v>
      </c>
      <c r="G131">
        <v>2652.25</v>
      </c>
      <c r="H131" s="2">
        <f>POWER(2,0.146*F131-1.44)</f>
        <v>2717.3788479429868</v>
      </c>
      <c r="J131" s="2">
        <f t="shared" si="1"/>
        <v>127</v>
      </c>
    </row>
    <row r="132" spans="4:11">
      <c r="D132">
        <v>107</v>
      </c>
      <c r="E132">
        <v>2</v>
      </c>
      <c r="F132">
        <v>88</v>
      </c>
      <c r="G132">
        <v>1405.08</v>
      </c>
      <c r="I132" s="2">
        <f>H131/E132</f>
        <v>1358.6894239714934</v>
      </c>
      <c r="J132" s="2">
        <f t="shared" si="1"/>
        <v>64</v>
      </c>
      <c r="K132" s="2">
        <f>$H$131/$J$131*J132</f>
        <v>1369.3877658925287</v>
      </c>
    </row>
    <row r="133" spans="4:11">
      <c r="D133">
        <v>107</v>
      </c>
      <c r="E133">
        <v>3</v>
      </c>
      <c r="F133">
        <v>88</v>
      </c>
      <c r="G133">
        <v>1023.47</v>
      </c>
      <c r="I133" s="2">
        <f>H131/E133</f>
        <v>905.79294931432889</v>
      </c>
      <c r="J133" s="2">
        <f t="shared" si="1"/>
        <v>44</v>
      </c>
      <c r="K133" s="2">
        <f t="shared" ref="K133:K135" si="2">$H$131/$J$131*J133</f>
        <v>941.45408905111344</v>
      </c>
    </row>
    <row r="134" spans="4:11">
      <c r="D134">
        <v>107</v>
      </c>
      <c r="E134">
        <v>4</v>
      </c>
      <c r="F134">
        <v>88</v>
      </c>
      <c r="G134">
        <v>806.99</v>
      </c>
      <c r="I134" s="2">
        <f>H131/E134</f>
        <v>679.3447119857467</v>
      </c>
      <c r="J134" s="2">
        <f t="shared" si="1"/>
        <v>33</v>
      </c>
      <c r="K134" s="2">
        <f t="shared" si="2"/>
        <v>706.09056678833508</v>
      </c>
    </row>
    <row r="135" spans="4:11">
      <c r="D135">
        <v>107</v>
      </c>
      <c r="E135">
        <v>5</v>
      </c>
      <c r="F135">
        <v>88</v>
      </c>
      <c r="G135">
        <v>699.85</v>
      </c>
      <c r="I135" s="2">
        <f>H131/E135</f>
        <v>543.47576958859736</v>
      </c>
      <c r="J135" s="2">
        <f t="shared" si="1"/>
        <v>28</v>
      </c>
      <c r="K135" s="2">
        <f t="shared" si="2"/>
        <v>599.10714757798132</v>
      </c>
    </row>
    <row r="136" spans="4:11">
      <c r="D136">
        <v>109</v>
      </c>
      <c r="E136">
        <v>1</v>
      </c>
      <c r="F136">
        <v>90</v>
      </c>
      <c r="G136">
        <v>3159.65</v>
      </c>
      <c r="H136" s="2">
        <f>POWER(2,0.146*F136-1.44)</f>
        <v>3326.985815475135</v>
      </c>
      <c r="J136" s="2">
        <f t="shared" si="1"/>
        <v>125</v>
      </c>
    </row>
    <row r="137" spans="4:11">
      <c r="D137">
        <v>109</v>
      </c>
      <c r="E137">
        <v>2</v>
      </c>
      <c r="F137">
        <v>90</v>
      </c>
      <c r="G137">
        <v>1741.36</v>
      </c>
      <c r="J137" s="2">
        <f t="shared" si="1"/>
        <v>63</v>
      </c>
    </row>
    <row r="138" spans="4:11">
      <c r="D138">
        <v>109</v>
      </c>
      <c r="E138">
        <v>3</v>
      </c>
      <c r="F138">
        <v>90</v>
      </c>
      <c r="G138">
        <v>1234.8800000000001</v>
      </c>
      <c r="J138" s="2">
        <f t="shared" ref="J138:J150" si="3">2*(ROUNDDOWN((D138-F138+12)/E138,0)+1) + (ROUNDDOWN((180-D138-12)/E138,0)+1) + 1</f>
        <v>43</v>
      </c>
    </row>
    <row r="139" spans="4:11">
      <c r="D139">
        <v>109</v>
      </c>
      <c r="E139">
        <v>4</v>
      </c>
      <c r="F139">
        <v>90</v>
      </c>
      <c r="G139">
        <v>977.26</v>
      </c>
      <c r="J139" s="2">
        <f t="shared" si="3"/>
        <v>32</v>
      </c>
    </row>
    <row r="140" spans="4:11">
      <c r="D140">
        <v>109</v>
      </c>
      <c r="E140">
        <v>5</v>
      </c>
      <c r="F140">
        <v>90</v>
      </c>
      <c r="G140">
        <v>836.27</v>
      </c>
      <c r="J140" s="2">
        <f t="shared" si="3"/>
        <v>27</v>
      </c>
    </row>
    <row r="141" spans="4:11">
      <c r="D141">
        <v>111</v>
      </c>
      <c r="E141">
        <v>1</v>
      </c>
      <c r="F141">
        <v>92</v>
      </c>
      <c r="G141">
        <v>4068.67</v>
      </c>
      <c r="H141" s="2">
        <f>POWER(2,0.146*F141-1.44)</f>
        <v>4073.349810885481</v>
      </c>
      <c r="J141" s="2">
        <f t="shared" si="3"/>
        <v>123</v>
      </c>
    </row>
    <row r="142" spans="4:11">
      <c r="D142">
        <v>111</v>
      </c>
      <c r="E142">
        <v>2</v>
      </c>
      <c r="F142">
        <v>92</v>
      </c>
      <c r="G142">
        <v>2248.0700000000002</v>
      </c>
      <c r="J142" s="2">
        <f t="shared" si="3"/>
        <v>62</v>
      </c>
    </row>
    <row r="143" spans="4:11">
      <c r="D143">
        <v>111</v>
      </c>
      <c r="E143">
        <v>3</v>
      </c>
      <c r="F143">
        <v>92</v>
      </c>
      <c r="G143">
        <v>1576.71</v>
      </c>
      <c r="J143" s="2">
        <f t="shared" si="3"/>
        <v>43</v>
      </c>
    </row>
    <row r="144" spans="4:11">
      <c r="D144">
        <v>111</v>
      </c>
      <c r="E144">
        <v>4</v>
      </c>
      <c r="F144">
        <v>92</v>
      </c>
      <c r="G144">
        <v>1277.9000000000001</v>
      </c>
      <c r="J144" s="2">
        <f t="shared" si="3"/>
        <v>32</v>
      </c>
    </row>
    <row r="145" spans="4:10">
      <c r="D145">
        <v>111</v>
      </c>
      <c r="E145">
        <v>5</v>
      </c>
      <c r="F145">
        <v>92</v>
      </c>
      <c r="G145">
        <v>1098.3499999999999</v>
      </c>
      <c r="J145" s="2">
        <f t="shared" si="3"/>
        <v>27</v>
      </c>
    </row>
    <row r="146" spans="4:10">
      <c r="D146">
        <v>113</v>
      </c>
      <c r="E146">
        <v>1</v>
      </c>
      <c r="F146">
        <v>94</v>
      </c>
      <c r="G146">
        <v>5177.49</v>
      </c>
      <c r="H146" s="2">
        <f>POWER(2,0.146*F146-1.44)</f>
        <v>4987.1504124435869</v>
      </c>
      <c r="J146" s="2">
        <f t="shared" si="3"/>
        <v>121</v>
      </c>
    </row>
    <row r="147" spans="4:10">
      <c r="D147">
        <v>113</v>
      </c>
      <c r="E147">
        <v>2</v>
      </c>
      <c r="F147">
        <v>94</v>
      </c>
      <c r="G147">
        <v>2829.48</v>
      </c>
      <c r="J147" s="2">
        <f t="shared" si="3"/>
        <v>61</v>
      </c>
    </row>
    <row r="148" spans="4:10">
      <c r="D148">
        <v>113</v>
      </c>
      <c r="E148">
        <v>3</v>
      </c>
      <c r="F148">
        <v>94</v>
      </c>
      <c r="G148">
        <v>2029.69</v>
      </c>
      <c r="J148" s="2">
        <f t="shared" si="3"/>
        <v>42</v>
      </c>
    </row>
    <row r="149" spans="4:10">
      <c r="D149">
        <v>113</v>
      </c>
      <c r="E149">
        <v>4</v>
      </c>
      <c r="F149">
        <v>94</v>
      </c>
      <c r="G149">
        <v>1548.8</v>
      </c>
      <c r="J149" s="2">
        <f t="shared" si="3"/>
        <v>31</v>
      </c>
    </row>
    <row r="150" spans="4:10">
      <c r="D150">
        <v>113</v>
      </c>
      <c r="E150">
        <v>5</v>
      </c>
      <c r="F150">
        <v>94</v>
      </c>
      <c r="G150">
        <v>1458.53</v>
      </c>
      <c r="J150" s="2">
        <f t="shared" si="3"/>
        <v>27</v>
      </c>
    </row>
  </sheetData>
  <mergeCells count="1">
    <mergeCell ref="D4:P5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E41E-8F1F-6240-A546-BDAF74846EB2}">
  <dimension ref="D4:N245"/>
  <sheetViews>
    <sheetView zoomScale="150" workbookViewId="0">
      <pane ySplit="6" topLeftCell="A206" activePane="bottomLeft" state="frozen"/>
      <selection pane="bottomLeft" activeCell="J203" sqref="J203"/>
    </sheetView>
  </sheetViews>
  <sheetFormatPr baseColWidth="10" defaultColWidth="8.83203125" defaultRowHeight="14"/>
  <cols>
    <col min="5" max="5" width="11.83203125" customWidth="1"/>
    <col min="6" max="6" width="15.83203125" customWidth="1"/>
    <col min="8" max="8" width="17" customWidth="1"/>
    <col min="9" max="9" width="17.5" customWidth="1"/>
    <col min="10" max="10" width="12.1640625" customWidth="1"/>
    <col min="11" max="11" width="16.33203125" customWidth="1"/>
  </cols>
  <sheetData>
    <row r="4" spans="4:14">
      <c r="D4" s="12" t="s">
        <v>11</v>
      </c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4:14" ht="83" customHeight="1">
      <c r="D5" s="15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4:14" ht="31" customHeight="1">
      <c r="D6" s="4" t="s">
        <v>8</v>
      </c>
      <c r="E6" s="4" t="s">
        <v>9</v>
      </c>
      <c r="F6" s="4" t="s">
        <v>0</v>
      </c>
      <c r="G6" s="4" t="s">
        <v>3</v>
      </c>
      <c r="H6" s="5" t="s">
        <v>12</v>
      </c>
      <c r="I6" s="5" t="s">
        <v>13</v>
      </c>
      <c r="J6" s="5" t="s">
        <v>14</v>
      </c>
      <c r="K6" s="5" t="s">
        <v>13</v>
      </c>
      <c r="L6" s="4"/>
      <c r="M6" s="4"/>
      <c r="N6" s="4"/>
    </row>
    <row r="7" spans="4:14">
      <c r="D7" s="4">
        <v>51</v>
      </c>
      <c r="E7" s="4">
        <v>1</v>
      </c>
      <c r="F7" s="4">
        <v>46</v>
      </c>
      <c r="G7" s="4">
        <v>437.54</v>
      </c>
      <c r="H7" s="5">
        <f>POWER(2,0.038*F7+7.03)</f>
        <v>438.97653075669615</v>
      </c>
      <c r="I7" s="5"/>
      <c r="J7" s="5">
        <f>2*(ROUNDDOWN((D7-F7+12)/E7,0)) + (ROUNDDOWN((180-D7-12)/E7,0)) + 1</f>
        <v>152</v>
      </c>
      <c r="K7" s="5"/>
      <c r="L7" s="4"/>
      <c r="M7" s="4"/>
      <c r="N7" s="4"/>
    </row>
    <row r="8" spans="4:14">
      <c r="D8" s="4">
        <v>51</v>
      </c>
      <c r="E8" s="4">
        <v>2</v>
      </c>
      <c r="F8" s="4">
        <v>46</v>
      </c>
      <c r="G8" s="4">
        <v>232.42</v>
      </c>
      <c r="H8" s="5"/>
      <c r="I8" s="5">
        <f>$H$7/E8</f>
        <v>219.48826537834807</v>
      </c>
      <c r="J8" s="5">
        <f>2*(ROUNDDOWN((D8-F8+12)/E8,0)) + (ROUNDDOWN((180-D8-12)/E8,0)) + 1</f>
        <v>75</v>
      </c>
      <c r="K8" s="5">
        <f>$H$7/$J$7*J8</f>
        <v>216.60026188652768</v>
      </c>
      <c r="L8" s="4"/>
      <c r="M8" s="4"/>
      <c r="N8" s="4"/>
    </row>
    <row r="9" spans="4:14">
      <c r="D9" s="4">
        <v>51</v>
      </c>
      <c r="E9" s="4">
        <v>3</v>
      </c>
      <c r="F9" s="4">
        <v>46</v>
      </c>
      <c r="G9" s="4">
        <v>157.29</v>
      </c>
      <c r="H9" s="5"/>
      <c r="I9" s="5">
        <f>$H$7/E9</f>
        <v>146.32551025223205</v>
      </c>
      <c r="J9" s="5">
        <f t="shared" ref="J9:J72" si="0">2*(ROUNDDOWN((D9-F9+12)/E9,0)) + (ROUNDDOWN((180-D9-12)/E9,0)) + 1</f>
        <v>50</v>
      </c>
      <c r="K9" s="5">
        <f>$H$7/$J$7*J9</f>
        <v>144.40017459101847</v>
      </c>
      <c r="L9" s="4"/>
      <c r="M9" s="4"/>
      <c r="N9" s="4"/>
    </row>
    <row r="10" spans="4:14">
      <c r="D10" s="4">
        <v>51</v>
      </c>
      <c r="E10" s="4">
        <v>4</v>
      </c>
      <c r="F10" s="4">
        <v>46</v>
      </c>
      <c r="G10" s="4">
        <v>124.5</v>
      </c>
      <c r="H10" s="5"/>
      <c r="I10" s="5">
        <f>$H$7/E10</f>
        <v>109.74413268917404</v>
      </c>
      <c r="J10" s="5">
        <f t="shared" si="0"/>
        <v>38</v>
      </c>
      <c r="K10" s="5">
        <f>$H$7/$J$7*J10</f>
        <v>109.74413268917402</v>
      </c>
      <c r="L10" s="4"/>
      <c r="M10" s="4"/>
      <c r="N10" s="4"/>
    </row>
    <row r="11" spans="4:14">
      <c r="D11" s="4">
        <v>51</v>
      </c>
      <c r="E11" s="4">
        <v>5</v>
      </c>
      <c r="F11" s="4">
        <v>46</v>
      </c>
      <c r="G11" s="4">
        <v>101.61</v>
      </c>
      <c r="H11" s="5"/>
      <c r="I11" s="5">
        <f>$H$7/E11</f>
        <v>87.795306151339233</v>
      </c>
      <c r="J11" s="5">
        <f t="shared" si="0"/>
        <v>30</v>
      </c>
      <c r="K11" s="5">
        <f>$H$7/$J$7*J11</f>
        <v>86.640104754611073</v>
      </c>
      <c r="L11" s="4"/>
      <c r="M11" s="4"/>
      <c r="N11" s="4"/>
    </row>
    <row r="12" spans="4:14">
      <c r="D12" s="4">
        <v>51</v>
      </c>
      <c r="E12" s="4">
        <v>6</v>
      </c>
      <c r="F12" s="4">
        <v>46</v>
      </c>
      <c r="G12" s="4">
        <v>83.94</v>
      </c>
      <c r="H12" s="5"/>
      <c r="I12" s="5">
        <f>$H$7/E12</f>
        <v>73.162755126116025</v>
      </c>
      <c r="J12" s="5">
        <f t="shared" si="0"/>
        <v>24</v>
      </c>
      <c r="K12" s="5">
        <f>$H$7/$J$7*J12</f>
        <v>69.312083803688864</v>
      </c>
      <c r="L12" s="4"/>
      <c r="M12" s="4"/>
      <c r="N12" s="4"/>
    </row>
    <row r="13" spans="4:14">
      <c r="D13" s="4">
        <v>53</v>
      </c>
      <c r="E13" s="4">
        <v>1</v>
      </c>
      <c r="F13" s="4">
        <v>47</v>
      </c>
      <c r="G13" s="4">
        <v>447.2</v>
      </c>
      <c r="H13" s="5">
        <f>POWER(2,0.038*F13+7.03)</f>
        <v>450.69261494433334</v>
      </c>
      <c r="I13" s="5"/>
      <c r="J13" s="5">
        <f t="shared" si="0"/>
        <v>152</v>
      </c>
      <c r="K13" s="5"/>
      <c r="L13" s="4"/>
      <c r="M13" s="4"/>
      <c r="N13" s="4"/>
    </row>
    <row r="14" spans="4:14">
      <c r="D14" s="4">
        <v>53</v>
      </c>
      <c r="E14" s="4">
        <v>2</v>
      </c>
      <c r="F14" s="4">
        <v>47</v>
      </c>
      <c r="G14" s="4">
        <v>232.85</v>
      </c>
      <c r="H14" s="5"/>
      <c r="I14" s="5">
        <f>$H$13/E14</f>
        <v>225.34630747216667</v>
      </c>
      <c r="J14" s="5">
        <f t="shared" si="0"/>
        <v>76</v>
      </c>
      <c r="K14" s="5">
        <f>$H$13/$J$13*J14</f>
        <v>225.3463074721667</v>
      </c>
      <c r="L14" s="4"/>
      <c r="M14" s="4"/>
      <c r="N14" s="4"/>
    </row>
    <row r="15" spans="4:14">
      <c r="D15" s="4">
        <v>53</v>
      </c>
      <c r="E15" s="4">
        <v>3</v>
      </c>
      <c r="F15" s="4">
        <v>47</v>
      </c>
      <c r="G15" s="4">
        <v>159.66</v>
      </c>
      <c r="H15" s="5"/>
      <c r="I15" s="5">
        <f t="shared" ref="I15:I18" si="1">$H$13/E15</f>
        <v>150.2308716481111</v>
      </c>
      <c r="J15" s="5">
        <f t="shared" si="0"/>
        <v>51</v>
      </c>
      <c r="K15" s="5">
        <f t="shared" ref="K15:K18" si="2">$H$13/$J$13*J15</f>
        <v>151.21923264579607</v>
      </c>
      <c r="L15" s="4"/>
      <c r="M15" s="4"/>
      <c r="N15" s="4"/>
    </row>
    <row r="16" spans="4:14">
      <c r="D16" s="4">
        <v>53</v>
      </c>
      <c r="E16" s="4">
        <v>4</v>
      </c>
      <c r="F16" s="4">
        <v>47</v>
      </c>
      <c r="G16" s="4">
        <v>124.26</v>
      </c>
      <c r="H16" s="5"/>
      <c r="I16" s="5">
        <f t="shared" si="1"/>
        <v>112.67315373608334</v>
      </c>
      <c r="J16" s="5">
        <f t="shared" si="0"/>
        <v>37</v>
      </c>
      <c r="K16" s="5">
        <f t="shared" si="2"/>
        <v>109.70807074302851</v>
      </c>
      <c r="L16" s="4"/>
      <c r="M16" s="4"/>
      <c r="N16" s="4"/>
    </row>
    <row r="17" spans="4:14">
      <c r="D17" s="4">
        <v>53</v>
      </c>
      <c r="E17" s="4">
        <v>5</v>
      </c>
      <c r="F17" s="4">
        <v>47</v>
      </c>
      <c r="G17" s="4">
        <v>101.48</v>
      </c>
      <c r="H17" s="5"/>
      <c r="I17" s="5">
        <f t="shared" si="1"/>
        <v>90.138522988866669</v>
      </c>
      <c r="J17" s="5">
        <f t="shared" si="0"/>
        <v>30</v>
      </c>
      <c r="K17" s="5">
        <f t="shared" si="2"/>
        <v>88.952489791644751</v>
      </c>
      <c r="L17" s="4"/>
      <c r="M17" s="4"/>
      <c r="N17" s="4"/>
    </row>
    <row r="18" spans="4:14">
      <c r="D18" s="4">
        <v>53</v>
      </c>
      <c r="E18" s="4">
        <v>6</v>
      </c>
      <c r="F18" s="4">
        <v>47</v>
      </c>
      <c r="G18" s="4">
        <v>87.23</v>
      </c>
      <c r="H18" s="5"/>
      <c r="I18" s="5">
        <f t="shared" si="1"/>
        <v>75.115435824055552</v>
      </c>
      <c r="J18" s="5">
        <f t="shared" si="0"/>
        <v>26</v>
      </c>
      <c r="K18" s="5">
        <f t="shared" si="2"/>
        <v>77.092157819425438</v>
      </c>
      <c r="L18" s="4"/>
      <c r="M18" s="4"/>
      <c r="N18" s="4"/>
    </row>
    <row r="19" spans="4:14">
      <c r="D19" s="4">
        <v>55</v>
      </c>
      <c r="E19" s="4">
        <v>1</v>
      </c>
      <c r="F19" s="4">
        <v>48</v>
      </c>
      <c r="G19" s="4">
        <v>465.87</v>
      </c>
      <c r="H19" s="5">
        <f>POWER(2,0.038*F19+7.03)</f>
        <v>462.7213960965554</v>
      </c>
      <c r="I19" s="5"/>
      <c r="J19" s="5">
        <f t="shared" si="0"/>
        <v>152</v>
      </c>
      <c r="K19" s="5"/>
      <c r="L19" s="4"/>
      <c r="M19" s="4"/>
      <c r="N19" s="4"/>
    </row>
    <row r="20" spans="4:14">
      <c r="D20" s="4">
        <v>55</v>
      </c>
      <c r="E20" s="4">
        <v>2</v>
      </c>
      <c r="F20" s="4">
        <v>48</v>
      </c>
      <c r="G20" s="4">
        <v>241.76</v>
      </c>
      <c r="H20" s="5"/>
      <c r="I20" s="5">
        <f>$H$19/E20</f>
        <v>231.3606980482777</v>
      </c>
      <c r="J20" s="5">
        <f t="shared" si="0"/>
        <v>75</v>
      </c>
      <c r="K20" s="5">
        <f>$H$19/$J$19*J20</f>
        <v>228.31647833711617</v>
      </c>
      <c r="L20" s="4"/>
      <c r="M20" s="4"/>
      <c r="N20" s="4"/>
    </row>
    <row r="21" spans="4:14">
      <c r="D21" s="4">
        <v>55</v>
      </c>
      <c r="E21" s="4">
        <v>3</v>
      </c>
      <c r="F21" s="4">
        <v>48</v>
      </c>
      <c r="G21" s="4">
        <v>167.44</v>
      </c>
      <c r="H21" s="5"/>
      <c r="I21" s="5">
        <f t="shared" ref="I21:I24" si="3">$H$19/E21</f>
        <v>154.24046536551847</v>
      </c>
      <c r="J21" s="5">
        <f t="shared" si="0"/>
        <v>50</v>
      </c>
      <c r="K21" s="5">
        <f t="shared" ref="K21:K24" si="4">$H$19/$J$19*J21</f>
        <v>152.21098555807743</v>
      </c>
      <c r="L21" s="4"/>
      <c r="M21" s="4"/>
      <c r="N21" s="4"/>
    </row>
    <row r="22" spans="4:14">
      <c r="D22" s="4">
        <v>55</v>
      </c>
      <c r="E22" s="4">
        <v>4</v>
      </c>
      <c r="F22" s="4">
        <v>48</v>
      </c>
      <c r="G22" s="4">
        <v>129.08000000000001</v>
      </c>
      <c r="H22" s="5"/>
      <c r="I22" s="5">
        <f t="shared" si="3"/>
        <v>115.68034902413885</v>
      </c>
      <c r="J22" s="5">
        <f t="shared" si="0"/>
        <v>37</v>
      </c>
      <c r="K22" s="5">
        <f t="shared" si="4"/>
        <v>112.6361293129773</v>
      </c>
      <c r="L22" s="4"/>
      <c r="M22" s="4"/>
      <c r="N22" s="4"/>
    </row>
    <row r="23" spans="4:14">
      <c r="D23" s="4">
        <v>55</v>
      </c>
      <c r="E23" s="4">
        <v>5</v>
      </c>
      <c r="F23" s="4">
        <v>48</v>
      </c>
      <c r="G23" s="4">
        <v>103.89</v>
      </c>
      <c r="H23" s="5"/>
      <c r="I23" s="5">
        <f t="shared" si="3"/>
        <v>92.544279219311079</v>
      </c>
      <c r="J23" s="5">
        <f t="shared" si="0"/>
        <v>29</v>
      </c>
      <c r="K23" s="5">
        <f t="shared" si="4"/>
        <v>88.282371623684909</v>
      </c>
      <c r="L23" s="4"/>
      <c r="M23" s="4"/>
      <c r="N23" s="4"/>
    </row>
    <row r="24" spans="4:14">
      <c r="D24" s="4">
        <v>55</v>
      </c>
      <c r="E24" s="4">
        <v>6</v>
      </c>
      <c r="F24" s="4">
        <v>48</v>
      </c>
      <c r="G24" s="4">
        <v>92.42</v>
      </c>
      <c r="H24" s="5"/>
      <c r="I24" s="5">
        <f t="shared" si="3"/>
        <v>77.120232682759237</v>
      </c>
      <c r="J24" s="5">
        <f t="shared" si="0"/>
        <v>25</v>
      </c>
      <c r="K24" s="5">
        <f t="shared" si="4"/>
        <v>76.105492779038713</v>
      </c>
      <c r="L24" s="4"/>
      <c r="M24" s="4"/>
      <c r="N24" s="4"/>
    </row>
    <row r="25" spans="4:14">
      <c r="D25" s="4">
        <v>57</v>
      </c>
      <c r="E25" s="4">
        <v>1</v>
      </c>
      <c r="F25" s="4">
        <v>49</v>
      </c>
      <c r="G25" s="4">
        <v>467.78</v>
      </c>
      <c r="H25" s="5">
        <f>POWER(2,0.038*F25+7.03)</f>
        <v>475.07121995329641</v>
      </c>
      <c r="I25" s="5"/>
      <c r="J25" s="5">
        <f t="shared" si="0"/>
        <v>152</v>
      </c>
      <c r="K25" s="5"/>
      <c r="L25" s="4"/>
      <c r="M25" s="4"/>
      <c r="N25" s="4"/>
    </row>
    <row r="26" spans="4:14">
      <c r="D26" s="4">
        <v>57</v>
      </c>
      <c r="E26" s="4">
        <v>2</v>
      </c>
      <c r="F26" s="4">
        <v>49</v>
      </c>
      <c r="G26" s="4">
        <v>243.86</v>
      </c>
      <c r="H26" s="5"/>
      <c r="I26" s="5">
        <f>$H$25/E26</f>
        <v>237.5356099766482</v>
      </c>
      <c r="J26" s="5">
        <f t="shared" si="0"/>
        <v>76</v>
      </c>
      <c r="K26" s="5">
        <f>$H$25/$J$25*J26</f>
        <v>237.5356099766482</v>
      </c>
      <c r="L26" s="4"/>
      <c r="M26" s="4"/>
      <c r="N26" s="4"/>
    </row>
    <row r="27" spans="4:14">
      <c r="D27" s="4">
        <v>57</v>
      </c>
      <c r="E27" s="4">
        <v>3</v>
      </c>
      <c r="F27" s="4">
        <v>49</v>
      </c>
      <c r="G27" s="4">
        <v>167.56</v>
      </c>
      <c r="H27" s="5"/>
      <c r="I27" s="5">
        <f t="shared" ref="I27:I30" si="5">$H$25/E27</f>
        <v>158.35707331776547</v>
      </c>
      <c r="J27" s="5">
        <f t="shared" si="0"/>
        <v>50</v>
      </c>
      <c r="K27" s="5">
        <f t="shared" ref="K27:K30" si="6">$H$19/$J$19*J27</f>
        <v>152.21098555807743</v>
      </c>
      <c r="L27" s="4"/>
      <c r="M27" s="4"/>
      <c r="N27" s="4"/>
    </row>
    <row r="28" spans="4:14">
      <c r="D28" s="4">
        <v>57</v>
      </c>
      <c r="E28" s="4">
        <v>4</v>
      </c>
      <c r="F28" s="4">
        <v>49</v>
      </c>
      <c r="G28" s="4">
        <v>128.22</v>
      </c>
      <c r="H28" s="4"/>
      <c r="I28" s="5">
        <f t="shared" si="5"/>
        <v>118.7678049883241</v>
      </c>
      <c r="J28" s="5">
        <f t="shared" si="0"/>
        <v>38</v>
      </c>
      <c r="K28" s="5">
        <f t="shared" si="6"/>
        <v>115.68034902413885</v>
      </c>
      <c r="L28" s="4"/>
      <c r="M28" s="4"/>
      <c r="N28" s="4"/>
    </row>
    <row r="29" spans="4:14">
      <c r="D29" s="4">
        <v>57</v>
      </c>
      <c r="E29" s="4">
        <v>5</v>
      </c>
      <c r="F29" s="4">
        <v>49</v>
      </c>
      <c r="G29" s="4">
        <v>106.09</v>
      </c>
      <c r="H29" s="4"/>
      <c r="I29" s="5">
        <f t="shared" si="5"/>
        <v>95.014243990659281</v>
      </c>
      <c r="J29" s="5">
        <f t="shared" si="0"/>
        <v>31</v>
      </c>
      <c r="K29" s="5">
        <f t="shared" si="6"/>
        <v>94.370811046008015</v>
      </c>
      <c r="L29" s="4"/>
      <c r="M29" s="4"/>
      <c r="N29" s="4"/>
    </row>
    <row r="30" spans="4:14">
      <c r="D30" s="4">
        <v>57</v>
      </c>
      <c r="E30" s="4">
        <v>6</v>
      </c>
      <c r="F30" s="4">
        <v>49</v>
      </c>
      <c r="G30" s="4">
        <v>93.87</v>
      </c>
      <c r="H30" s="4"/>
      <c r="I30" s="5">
        <f t="shared" si="5"/>
        <v>79.178536658882734</v>
      </c>
      <c r="J30" s="5">
        <f t="shared" si="0"/>
        <v>25</v>
      </c>
      <c r="K30" s="5">
        <f t="shared" si="6"/>
        <v>76.105492779038713</v>
      </c>
      <c r="L30" s="4"/>
      <c r="M30" s="4"/>
      <c r="N30" s="4"/>
    </row>
    <row r="31" spans="4:14">
      <c r="D31" s="4">
        <v>59</v>
      </c>
      <c r="E31" s="4">
        <v>1</v>
      </c>
      <c r="F31" s="4">
        <v>50</v>
      </c>
      <c r="G31" s="4">
        <v>482.34</v>
      </c>
      <c r="H31" s="5">
        <f>POWER(2,0.038*F31+7.03)</f>
        <v>487.75065499849586</v>
      </c>
      <c r="I31" s="4"/>
      <c r="J31" s="5">
        <f t="shared" si="0"/>
        <v>152</v>
      </c>
      <c r="K31" s="4"/>
      <c r="L31" s="4"/>
      <c r="M31" s="4"/>
      <c r="N31" s="4"/>
    </row>
    <row r="32" spans="4:14">
      <c r="D32" s="4">
        <v>59</v>
      </c>
      <c r="E32" s="4">
        <v>2</v>
      </c>
      <c r="F32" s="4">
        <v>50</v>
      </c>
      <c r="G32" s="4">
        <v>253.68</v>
      </c>
      <c r="H32" s="4"/>
      <c r="I32" s="4"/>
      <c r="J32" s="5">
        <f t="shared" si="0"/>
        <v>75</v>
      </c>
      <c r="K32" s="4"/>
      <c r="L32" s="4"/>
      <c r="M32" s="4"/>
      <c r="N32" s="4"/>
    </row>
    <row r="33" spans="4:14">
      <c r="D33" s="4">
        <v>59</v>
      </c>
      <c r="E33" s="4">
        <v>3</v>
      </c>
      <c r="F33" s="4">
        <v>50</v>
      </c>
      <c r="G33" s="4">
        <v>172.99</v>
      </c>
      <c r="H33" s="4"/>
      <c r="I33" s="4"/>
      <c r="J33" s="5">
        <f t="shared" si="0"/>
        <v>51</v>
      </c>
      <c r="K33" s="4"/>
      <c r="L33" s="4"/>
      <c r="M33" s="4"/>
      <c r="N33" s="4"/>
    </row>
    <row r="34" spans="4:14">
      <c r="D34" s="4">
        <v>59</v>
      </c>
      <c r="E34" s="4">
        <v>4</v>
      </c>
      <c r="F34" s="4">
        <v>50</v>
      </c>
      <c r="G34" s="4">
        <v>136.69999999999999</v>
      </c>
      <c r="H34" s="4"/>
      <c r="I34" s="4"/>
      <c r="J34" s="5">
        <f t="shared" si="0"/>
        <v>38</v>
      </c>
      <c r="K34" s="4"/>
      <c r="L34" s="4"/>
      <c r="M34" s="4"/>
      <c r="N34" s="4"/>
    </row>
    <row r="35" spans="4:14">
      <c r="D35" s="4">
        <v>59</v>
      </c>
      <c r="E35" s="4">
        <v>5</v>
      </c>
      <c r="F35" s="4">
        <v>50</v>
      </c>
      <c r="G35" s="4">
        <v>110.93</v>
      </c>
      <c r="H35" s="4"/>
      <c r="I35" s="4"/>
      <c r="J35" s="5">
        <f t="shared" si="0"/>
        <v>30</v>
      </c>
      <c r="K35" s="4"/>
      <c r="L35" s="4"/>
      <c r="M35" s="4"/>
      <c r="N35" s="4"/>
    </row>
    <row r="36" spans="4:14">
      <c r="D36" s="4">
        <v>59</v>
      </c>
      <c r="E36" s="4">
        <v>6</v>
      </c>
      <c r="F36" s="4">
        <v>50</v>
      </c>
      <c r="G36" s="4">
        <v>96.19</v>
      </c>
      <c r="H36" s="4"/>
      <c r="I36" s="4"/>
      <c r="J36" s="5">
        <f t="shared" si="0"/>
        <v>25</v>
      </c>
      <c r="K36" s="4"/>
      <c r="L36" s="4"/>
      <c r="M36" s="4"/>
      <c r="N36" s="4"/>
    </row>
    <row r="37" spans="4:14">
      <c r="D37" s="4">
        <v>61</v>
      </c>
      <c r="E37" s="4">
        <v>1</v>
      </c>
      <c r="F37" s="4">
        <v>51</v>
      </c>
      <c r="G37" s="4">
        <v>492.44</v>
      </c>
      <c r="H37" s="5">
        <f>POWER(2,0.038*F37+7.03)</f>
        <v>500.76849840503746</v>
      </c>
      <c r="I37" s="4"/>
      <c r="J37" s="5">
        <f t="shared" si="0"/>
        <v>152</v>
      </c>
      <c r="K37" s="4"/>
      <c r="L37" s="4"/>
      <c r="M37" s="4"/>
      <c r="N37" s="4"/>
    </row>
    <row r="38" spans="4:14">
      <c r="D38" s="4">
        <v>61</v>
      </c>
      <c r="E38" s="4">
        <v>2</v>
      </c>
      <c r="F38" s="4">
        <v>51</v>
      </c>
      <c r="G38" s="4">
        <v>253.33</v>
      </c>
      <c r="H38" s="4"/>
      <c r="I38" s="4"/>
      <c r="J38" s="5">
        <f t="shared" si="0"/>
        <v>76</v>
      </c>
      <c r="K38" s="4"/>
      <c r="L38" s="4"/>
      <c r="M38" s="4"/>
      <c r="N38" s="4"/>
    </row>
    <row r="39" spans="4:14">
      <c r="D39" s="4">
        <v>61</v>
      </c>
      <c r="E39" s="4">
        <v>3</v>
      </c>
      <c r="F39" s="4">
        <v>51</v>
      </c>
      <c r="G39" s="4">
        <v>180.05</v>
      </c>
      <c r="H39" s="4"/>
      <c r="I39" s="4"/>
      <c r="J39" s="5">
        <f t="shared" si="0"/>
        <v>50</v>
      </c>
      <c r="K39" s="4"/>
      <c r="L39" s="4"/>
      <c r="M39" s="4"/>
      <c r="N39" s="4"/>
    </row>
    <row r="40" spans="4:14">
      <c r="D40" s="4">
        <v>61</v>
      </c>
      <c r="E40" s="4">
        <v>4</v>
      </c>
      <c r="F40" s="4">
        <v>51</v>
      </c>
      <c r="G40" s="4">
        <v>136.07</v>
      </c>
      <c r="H40" s="4"/>
      <c r="I40" s="4"/>
      <c r="J40" s="5">
        <f t="shared" si="0"/>
        <v>37</v>
      </c>
      <c r="K40" s="4"/>
      <c r="L40" s="4"/>
      <c r="M40" s="4"/>
      <c r="N40" s="4"/>
    </row>
    <row r="41" spans="4:14">
      <c r="D41" s="4">
        <v>61</v>
      </c>
      <c r="E41" s="4">
        <v>5</v>
      </c>
      <c r="F41" s="4">
        <v>51</v>
      </c>
      <c r="G41" s="4">
        <v>113.67</v>
      </c>
      <c r="H41" s="4"/>
      <c r="I41" s="4"/>
      <c r="J41" s="5">
        <f t="shared" si="0"/>
        <v>30</v>
      </c>
      <c r="K41" s="4"/>
      <c r="L41" s="4"/>
      <c r="M41" s="4"/>
      <c r="N41" s="4"/>
    </row>
    <row r="42" spans="4:14">
      <c r="D42" s="4">
        <v>61</v>
      </c>
      <c r="E42" s="4">
        <v>6</v>
      </c>
      <c r="F42" s="4">
        <v>51</v>
      </c>
      <c r="G42" s="4">
        <v>94.79</v>
      </c>
      <c r="H42" s="4"/>
      <c r="I42" s="4"/>
      <c r="J42" s="5">
        <f t="shared" si="0"/>
        <v>24</v>
      </c>
      <c r="K42" s="4"/>
      <c r="L42" s="4"/>
      <c r="M42" s="4"/>
      <c r="N42" s="4"/>
    </row>
    <row r="43" spans="4:14">
      <c r="D43" s="4">
        <v>63</v>
      </c>
      <c r="E43" s="4">
        <v>1</v>
      </c>
      <c r="F43" s="4">
        <v>52</v>
      </c>
      <c r="G43" s="4">
        <v>506.83</v>
      </c>
      <c r="H43" s="5">
        <f>POWER(2,0.038*F43+7.03)</f>
        <v>514.13378213835415</v>
      </c>
      <c r="I43" s="4"/>
      <c r="J43" s="5">
        <f t="shared" si="0"/>
        <v>152</v>
      </c>
      <c r="K43" s="4"/>
      <c r="L43" s="4"/>
      <c r="M43" s="4"/>
      <c r="N43" s="4"/>
    </row>
    <row r="44" spans="4:14">
      <c r="D44" s="4">
        <v>63</v>
      </c>
      <c r="E44" s="4">
        <v>2</v>
      </c>
      <c r="F44" s="4">
        <v>52</v>
      </c>
      <c r="G44" s="4">
        <v>262.60000000000002</v>
      </c>
      <c r="H44" s="4"/>
      <c r="I44" s="4"/>
      <c r="J44" s="5">
        <f t="shared" si="0"/>
        <v>75</v>
      </c>
      <c r="K44" s="4"/>
      <c r="L44" s="4"/>
      <c r="M44" s="4"/>
      <c r="N44" s="4"/>
    </row>
    <row r="45" spans="4:14">
      <c r="D45" s="4">
        <v>63</v>
      </c>
      <c r="E45" s="4">
        <v>3</v>
      </c>
      <c r="F45" s="4">
        <v>52</v>
      </c>
      <c r="G45" s="4">
        <v>180.15</v>
      </c>
      <c r="H45" s="4"/>
      <c r="I45" s="4"/>
      <c r="J45" s="5">
        <f t="shared" si="0"/>
        <v>50</v>
      </c>
      <c r="K45" s="4"/>
      <c r="L45" s="4"/>
      <c r="M45" s="4"/>
      <c r="N45" s="4"/>
    </row>
    <row r="46" spans="4:14">
      <c r="D46" s="4">
        <v>63</v>
      </c>
      <c r="E46" s="4">
        <v>4</v>
      </c>
      <c r="F46" s="4">
        <v>52</v>
      </c>
      <c r="G46" s="4">
        <v>138.94999999999999</v>
      </c>
      <c r="H46" s="4"/>
      <c r="I46" s="4"/>
      <c r="J46" s="5">
        <f t="shared" si="0"/>
        <v>37</v>
      </c>
      <c r="K46" s="4"/>
      <c r="L46" s="4"/>
      <c r="M46" s="4"/>
      <c r="N46" s="4"/>
    </row>
    <row r="47" spans="4:14">
      <c r="D47" s="4">
        <v>63</v>
      </c>
      <c r="E47" s="4">
        <v>5</v>
      </c>
      <c r="F47" s="4">
        <v>52</v>
      </c>
      <c r="G47" s="4">
        <v>113.56</v>
      </c>
      <c r="H47" s="4"/>
      <c r="I47" s="4"/>
      <c r="J47" s="5">
        <f t="shared" si="0"/>
        <v>30</v>
      </c>
      <c r="K47" s="4"/>
      <c r="L47" s="4"/>
      <c r="M47" s="4"/>
      <c r="N47" s="4"/>
    </row>
    <row r="48" spans="4:14">
      <c r="D48" s="4">
        <v>63</v>
      </c>
      <c r="E48" s="4">
        <v>6</v>
      </c>
      <c r="F48" s="4">
        <v>52</v>
      </c>
      <c r="G48" s="4">
        <v>97.36</v>
      </c>
      <c r="H48" s="4"/>
      <c r="I48" s="4"/>
      <c r="J48" s="5">
        <f t="shared" si="0"/>
        <v>24</v>
      </c>
      <c r="K48" s="4"/>
      <c r="L48" s="4"/>
      <c r="M48" s="4"/>
      <c r="N48" s="4"/>
    </row>
    <row r="49" spans="4:14">
      <c r="D49" s="4">
        <v>65</v>
      </c>
      <c r="E49" s="4">
        <v>1</v>
      </c>
      <c r="F49" s="4">
        <v>53</v>
      </c>
      <c r="G49" s="4">
        <v>527.27</v>
      </c>
      <c r="H49" s="5">
        <f>POWER(2,0.038*F49+7.03)</f>
        <v>527.85577922293203</v>
      </c>
      <c r="I49" s="4"/>
      <c r="J49" s="5">
        <f t="shared" si="0"/>
        <v>152</v>
      </c>
      <c r="K49" s="4"/>
      <c r="L49" s="4"/>
      <c r="M49" s="4"/>
      <c r="N49" s="4"/>
    </row>
    <row r="50" spans="4:14">
      <c r="D50" s="4">
        <v>65</v>
      </c>
      <c r="E50" s="4">
        <v>2</v>
      </c>
      <c r="F50" s="4">
        <v>53</v>
      </c>
      <c r="G50" s="4">
        <v>271.86</v>
      </c>
      <c r="H50" s="4"/>
      <c r="I50" s="4"/>
      <c r="J50" s="5">
        <f t="shared" si="0"/>
        <v>76</v>
      </c>
      <c r="K50" s="4"/>
      <c r="L50" s="4"/>
      <c r="M50" s="4"/>
      <c r="N50" s="4"/>
    </row>
    <row r="51" spans="4:14">
      <c r="D51" s="4">
        <v>65</v>
      </c>
      <c r="E51" s="4">
        <v>3</v>
      </c>
      <c r="F51" s="4">
        <v>53</v>
      </c>
      <c r="G51" s="4">
        <v>186.07</v>
      </c>
      <c r="H51" s="4"/>
      <c r="I51" s="4"/>
      <c r="J51" s="5">
        <f t="shared" si="0"/>
        <v>51</v>
      </c>
      <c r="K51" s="4"/>
      <c r="L51" s="4"/>
      <c r="M51" s="4"/>
      <c r="N51" s="4"/>
    </row>
    <row r="52" spans="4:14">
      <c r="D52" s="4">
        <v>65</v>
      </c>
      <c r="E52" s="4">
        <v>4</v>
      </c>
      <c r="F52" s="4">
        <v>53</v>
      </c>
      <c r="G52" s="4">
        <v>141.43</v>
      </c>
      <c r="H52" s="4"/>
      <c r="I52" s="4"/>
      <c r="J52" s="5">
        <f t="shared" si="0"/>
        <v>38</v>
      </c>
      <c r="K52" s="4"/>
      <c r="L52" s="4"/>
      <c r="M52" s="4"/>
      <c r="N52" s="4"/>
    </row>
    <row r="53" spans="4:14">
      <c r="D53" s="4">
        <v>65</v>
      </c>
      <c r="E53" s="4">
        <v>5</v>
      </c>
      <c r="F53" s="4">
        <v>53</v>
      </c>
      <c r="G53" s="4">
        <v>117.58</v>
      </c>
      <c r="H53" s="4"/>
      <c r="I53" s="4"/>
      <c r="J53" s="5">
        <f t="shared" si="0"/>
        <v>29</v>
      </c>
      <c r="K53" s="4"/>
      <c r="L53" s="4"/>
      <c r="M53" s="4"/>
      <c r="N53" s="4"/>
    </row>
    <row r="54" spans="4:14">
      <c r="D54" s="4">
        <v>65</v>
      </c>
      <c r="E54" s="4">
        <v>6</v>
      </c>
      <c r="F54" s="4">
        <v>53</v>
      </c>
      <c r="G54" s="4">
        <v>101.37</v>
      </c>
      <c r="H54" s="4"/>
      <c r="I54" s="4"/>
      <c r="J54" s="5">
        <f t="shared" si="0"/>
        <v>26</v>
      </c>
      <c r="K54" s="4"/>
      <c r="L54" s="4"/>
      <c r="M54" s="4"/>
      <c r="N54" s="4"/>
    </row>
    <row r="55" spans="4:14">
      <c r="D55" s="4">
        <v>67</v>
      </c>
      <c r="E55" s="4">
        <v>1</v>
      </c>
      <c r="F55" s="4">
        <v>54</v>
      </c>
      <c r="G55" s="4">
        <v>530.92999999999995</v>
      </c>
      <c r="H55" s="5">
        <f>POWER(2,0.038*F55+7.03)</f>
        <v>541.94401017606799</v>
      </c>
      <c r="I55" s="4"/>
      <c r="J55" s="5">
        <f t="shared" si="0"/>
        <v>152</v>
      </c>
      <c r="K55" s="4"/>
      <c r="L55" s="4"/>
      <c r="M55" s="4"/>
      <c r="N55" s="4"/>
    </row>
    <row r="56" spans="4:14">
      <c r="D56" s="4">
        <v>67</v>
      </c>
      <c r="E56" s="4">
        <v>2</v>
      </c>
      <c r="F56" s="4">
        <v>54</v>
      </c>
      <c r="G56" s="4">
        <v>280.5</v>
      </c>
      <c r="H56" s="4"/>
      <c r="I56" s="4"/>
      <c r="J56" s="5">
        <f t="shared" si="0"/>
        <v>75</v>
      </c>
      <c r="K56" s="4"/>
      <c r="L56" s="4"/>
      <c r="M56" s="4"/>
      <c r="N56" s="4"/>
    </row>
    <row r="57" spans="4:14">
      <c r="D57" s="4">
        <v>67</v>
      </c>
      <c r="E57" s="4">
        <v>3</v>
      </c>
      <c r="F57" s="4">
        <v>54</v>
      </c>
      <c r="G57" s="4">
        <v>195.39</v>
      </c>
      <c r="H57" s="4"/>
      <c r="I57" s="4"/>
      <c r="J57" s="5">
        <f t="shared" si="0"/>
        <v>50</v>
      </c>
      <c r="K57" s="4"/>
      <c r="L57" s="4"/>
      <c r="M57" s="4"/>
      <c r="N57" s="4"/>
    </row>
    <row r="58" spans="4:14">
      <c r="D58" s="4">
        <v>67</v>
      </c>
      <c r="E58" s="4">
        <v>4</v>
      </c>
      <c r="F58" s="4">
        <v>54</v>
      </c>
      <c r="G58" s="4">
        <v>151.37</v>
      </c>
      <c r="H58" s="4"/>
      <c r="I58" s="4"/>
      <c r="J58" s="5">
        <f t="shared" si="0"/>
        <v>38</v>
      </c>
      <c r="K58" s="4"/>
      <c r="L58" s="4"/>
      <c r="M58" s="4"/>
      <c r="N58" s="4"/>
    </row>
    <row r="59" spans="4:14">
      <c r="D59" s="4">
        <v>67</v>
      </c>
      <c r="E59" s="4">
        <v>5</v>
      </c>
      <c r="F59" s="4">
        <v>54</v>
      </c>
      <c r="G59" s="4">
        <v>121.32</v>
      </c>
      <c r="H59" s="4"/>
      <c r="I59" s="4"/>
      <c r="J59" s="5">
        <f t="shared" si="0"/>
        <v>31</v>
      </c>
      <c r="K59" s="4"/>
      <c r="L59" s="4"/>
      <c r="M59" s="4"/>
      <c r="N59" s="4"/>
    </row>
    <row r="60" spans="4:14">
      <c r="D60" s="4">
        <v>67</v>
      </c>
      <c r="E60" s="4">
        <v>6</v>
      </c>
      <c r="F60" s="4">
        <v>54</v>
      </c>
      <c r="G60" s="4">
        <v>106.16</v>
      </c>
      <c r="H60" s="4"/>
      <c r="I60" s="4"/>
      <c r="J60" s="5">
        <f t="shared" si="0"/>
        <v>25</v>
      </c>
      <c r="K60" s="4"/>
      <c r="L60" s="4"/>
      <c r="M60" s="4"/>
      <c r="N60" s="4"/>
    </row>
    <row r="61" spans="4:14">
      <c r="D61" s="4">
        <v>69</v>
      </c>
      <c r="E61" s="4">
        <v>1</v>
      </c>
      <c r="F61" s="4">
        <v>55</v>
      </c>
      <c r="G61" s="4">
        <v>548.03</v>
      </c>
      <c r="H61" s="5">
        <f>POWER(2,0.038*F61+7.03)</f>
        <v>556.40824961334204</v>
      </c>
      <c r="I61" s="4"/>
      <c r="J61" s="5">
        <f t="shared" si="0"/>
        <v>152</v>
      </c>
      <c r="K61" s="4"/>
      <c r="L61" s="4"/>
      <c r="M61" s="4"/>
      <c r="N61" s="4"/>
    </row>
    <row r="62" spans="4:14">
      <c r="D62" s="4">
        <v>69</v>
      </c>
      <c r="E62" s="4">
        <v>2</v>
      </c>
      <c r="F62" s="4">
        <v>55</v>
      </c>
      <c r="G62" s="4">
        <v>283.98</v>
      </c>
      <c r="H62" s="4"/>
      <c r="I62" s="4"/>
      <c r="J62" s="5">
        <f t="shared" si="0"/>
        <v>76</v>
      </c>
      <c r="K62" s="4"/>
      <c r="L62" s="4"/>
      <c r="M62" s="4"/>
      <c r="N62" s="4"/>
    </row>
    <row r="63" spans="4:14">
      <c r="D63" s="4">
        <v>69</v>
      </c>
      <c r="E63" s="4">
        <v>3</v>
      </c>
      <c r="F63" s="4">
        <v>55</v>
      </c>
      <c r="G63" s="4">
        <v>196.14</v>
      </c>
      <c r="H63" s="4"/>
      <c r="I63" s="4"/>
      <c r="J63" s="5">
        <f t="shared" si="0"/>
        <v>50</v>
      </c>
      <c r="K63" s="4"/>
      <c r="L63" s="4"/>
      <c r="M63" s="4"/>
      <c r="N63" s="4"/>
    </row>
    <row r="64" spans="4:14">
      <c r="D64" s="4">
        <v>69</v>
      </c>
      <c r="E64" s="4">
        <v>4</v>
      </c>
      <c r="F64" s="4">
        <v>55</v>
      </c>
      <c r="G64" s="4">
        <v>154.26</v>
      </c>
      <c r="H64" s="4"/>
      <c r="I64" s="4"/>
      <c r="J64" s="5">
        <f t="shared" si="0"/>
        <v>37</v>
      </c>
      <c r="K64" s="4"/>
      <c r="L64" s="4"/>
      <c r="M64" s="4"/>
      <c r="N64" s="4"/>
    </row>
    <row r="65" spans="4:14">
      <c r="D65" s="4">
        <v>69</v>
      </c>
      <c r="E65" s="4">
        <v>5</v>
      </c>
      <c r="F65" s="4">
        <v>55</v>
      </c>
      <c r="G65" s="4">
        <v>127.13</v>
      </c>
      <c r="H65" s="4"/>
      <c r="I65" s="4"/>
      <c r="J65" s="5">
        <f t="shared" si="0"/>
        <v>30</v>
      </c>
      <c r="K65" s="4"/>
      <c r="L65" s="4"/>
      <c r="M65" s="4"/>
      <c r="N65" s="4"/>
    </row>
    <row r="66" spans="4:14">
      <c r="D66" s="4">
        <v>69</v>
      </c>
      <c r="E66" s="4">
        <v>6</v>
      </c>
      <c r="F66" s="4">
        <v>55</v>
      </c>
      <c r="G66" s="4">
        <v>111.19</v>
      </c>
      <c r="H66" s="4"/>
      <c r="I66" s="4"/>
      <c r="J66" s="5">
        <f t="shared" si="0"/>
        <v>25</v>
      </c>
      <c r="K66" s="4"/>
      <c r="L66" s="4"/>
      <c r="M66" s="4"/>
      <c r="N66" s="4"/>
    </row>
    <row r="67" spans="4:14">
      <c r="D67" s="4">
        <v>69</v>
      </c>
      <c r="E67" s="4">
        <v>7</v>
      </c>
      <c r="F67" s="4">
        <v>55</v>
      </c>
      <c r="G67" s="4">
        <v>95.51</v>
      </c>
      <c r="H67" s="4"/>
      <c r="I67" s="4"/>
      <c r="J67" s="5">
        <f t="shared" si="0"/>
        <v>21</v>
      </c>
      <c r="K67" s="4"/>
      <c r="L67" s="4"/>
      <c r="M67" s="4"/>
      <c r="N67" s="4"/>
    </row>
    <row r="68" spans="4:14">
      <c r="D68" s="4">
        <v>71</v>
      </c>
      <c r="E68" s="4">
        <v>1</v>
      </c>
      <c r="F68" s="4">
        <v>56</v>
      </c>
      <c r="G68" s="4">
        <v>567.16999999999996</v>
      </c>
      <c r="H68" s="5">
        <f>POWER(2,0.038*F68+7.03)</f>
        <v>571.25853303038218</v>
      </c>
      <c r="I68" s="4"/>
      <c r="J68" s="5">
        <f t="shared" si="0"/>
        <v>152</v>
      </c>
      <c r="K68" s="4"/>
      <c r="L68" s="4"/>
      <c r="M68" s="4"/>
      <c r="N68" s="4"/>
    </row>
    <row r="69" spans="4:14">
      <c r="D69" s="4">
        <v>71</v>
      </c>
      <c r="E69" s="4">
        <v>2</v>
      </c>
      <c r="F69" s="4">
        <v>56</v>
      </c>
      <c r="G69" s="4">
        <v>295.87</v>
      </c>
      <c r="H69" s="4"/>
      <c r="I69" s="4"/>
      <c r="J69" s="5">
        <f t="shared" si="0"/>
        <v>75</v>
      </c>
      <c r="K69" s="4"/>
      <c r="L69" s="4"/>
      <c r="M69" s="4"/>
      <c r="N69" s="4"/>
    </row>
    <row r="70" spans="4:14">
      <c r="D70" s="4">
        <v>71</v>
      </c>
      <c r="E70" s="4">
        <v>3</v>
      </c>
      <c r="F70" s="4">
        <v>56</v>
      </c>
      <c r="G70" s="4">
        <v>202.96</v>
      </c>
      <c r="H70" s="4"/>
      <c r="I70" s="4"/>
      <c r="J70" s="5">
        <f t="shared" si="0"/>
        <v>51</v>
      </c>
      <c r="K70" s="4"/>
      <c r="L70" s="4"/>
      <c r="M70" s="4"/>
      <c r="N70" s="4"/>
    </row>
    <row r="71" spans="4:14">
      <c r="D71" s="4">
        <v>71</v>
      </c>
      <c r="E71" s="4">
        <v>4</v>
      </c>
      <c r="F71" s="4">
        <v>56</v>
      </c>
      <c r="G71" s="4">
        <v>157.47999999999999</v>
      </c>
      <c r="H71" s="4"/>
      <c r="I71" s="4"/>
      <c r="J71" s="5">
        <f t="shared" si="0"/>
        <v>37</v>
      </c>
      <c r="K71" s="4"/>
      <c r="L71" s="4"/>
      <c r="M71" s="4"/>
      <c r="N71" s="4"/>
    </row>
    <row r="72" spans="4:14">
      <c r="D72" s="4">
        <v>71</v>
      </c>
      <c r="E72" s="4">
        <v>5</v>
      </c>
      <c r="F72" s="4">
        <v>56</v>
      </c>
      <c r="G72" s="4">
        <v>130.34</v>
      </c>
      <c r="H72" s="4"/>
      <c r="I72" s="4"/>
      <c r="J72" s="5">
        <f t="shared" si="0"/>
        <v>30</v>
      </c>
      <c r="K72" s="4"/>
      <c r="L72" s="4"/>
      <c r="M72" s="4"/>
      <c r="N72" s="4"/>
    </row>
    <row r="73" spans="4:14">
      <c r="D73" s="4">
        <v>71</v>
      </c>
      <c r="E73" s="4">
        <v>6</v>
      </c>
      <c r="F73" s="4">
        <v>56</v>
      </c>
      <c r="G73" s="4">
        <v>113.31</v>
      </c>
      <c r="H73" s="4"/>
      <c r="I73" s="4"/>
      <c r="J73" s="5">
        <f t="shared" ref="J73:J136" si="7">2*(ROUNDDOWN((D73-F73+12)/E73,0)) + (ROUNDDOWN((180-D73-12)/E73,0)) + 1</f>
        <v>25</v>
      </c>
      <c r="K73" s="4"/>
      <c r="L73" s="4"/>
      <c r="M73" s="4"/>
      <c r="N73" s="4"/>
    </row>
    <row r="74" spans="4:14">
      <c r="D74" s="4">
        <v>71</v>
      </c>
      <c r="E74" s="4">
        <v>7</v>
      </c>
      <c r="F74" s="4">
        <v>56</v>
      </c>
      <c r="G74" s="4">
        <v>93.89</v>
      </c>
      <c r="H74" s="4"/>
      <c r="I74" s="4"/>
      <c r="J74" s="5">
        <f t="shared" si="7"/>
        <v>20</v>
      </c>
      <c r="K74" s="4"/>
      <c r="L74" s="4"/>
      <c r="M74" s="4"/>
      <c r="N74" s="4"/>
    </row>
    <row r="75" spans="4:14">
      <c r="D75" s="4">
        <v>73</v>
      </c>
      <c r="E75" s="4">
        <v>1</v>
      </c>
      <c r="F75" s="4">
        <v>57</v>
      </c>
      <c r="G75" s="4">
        <v>591.71</v>
      </c>
      <c r="H75" s="5">
        <f>POWER(2,0.038*F75+7.03)</f>
        <v>586.5051637656353</v>
      </c>
      <c r="I75" s="4"/>
      <c r="J75" s="5">
        <f t="shared" si="7"/>
        <v>152</v>
      </c>
      <c r="K75" s="4"/>
      <c r="L75" s="4"/>
      <c r="M75" s="4"/>
      <c r="N75" s="4"/>
    </row>
    <row r="76" spans="4:14">
      <c r="D76" s="4">
        <v>73</v>
      </c>
      <c r="E76" s="4">
        <v>2</v>
      </c>
      <c r="F76" s="4">
        <v>57</v>
      </c>
      <c r="G76" s="4">
        <v>303.77999999999997</v>
      </c>
      <c r="H76" s="4"/>
      <c r="I76" s="5">
        <f>$H$75/E76</f>
        <v>293.25258188281765</v>
      </c>
      <c r="J76" s="5">
        <f t="shared" si="7"/>
        <v>76</v>
      </c>
      <c r="K76" s="5">
        <f>$H$75/$J$75*J76</f>
        <v>293.25258188281765</v>
      </c>
      <c r="L76" s="4"/>
      <c r="M76" s="4"/>
      <c r="N76" s="4"/>
    </row>
    <row r="77" spans="4:14">
      <c r="D77" s="4">
        <v>73</v>
      </c>
      <c r="E77" s="4">
        <v>3</v>
      </c>
      <c r="F77" s="4">
        <v>57</v>
      </c>
      <c r="G77" s="4">
        <v>213.83</v>
      </c>
      <c r="H77" s="4"/>
      <c r="I77" s="5">
        <f t="shared" ref="I77:I82" si="8">$H$75/E77</f>
        <v>195.50172125521178</v>
      </c>
      <c r="J77" s="5">
        <f t="shared" si="7"/>
        <v>50</v>
      </c>
      <c r="K77" s="5">
        <f t="shared" ref="K77:K82" si="9">$H$75/$J$75*J77</f>
        <v>192.92933018606425</v>
      </c>
      <c r="L77" s="4"/>
      <c r="M77" s="4"/>
      <c r="N77" s="4"/>
    </row>
    <row r="78" spans="4:14">
      <c r="D78" s="4">
        <v>73</v>
      </c>
      <c r="E78" s="4">
        <v>4</v>
      </c>
      <c r="F78" s="4">
        <v>57</v>
      </c>
      <c r="G78" s="4">
        <v>156.12</v>
      </c>
      <c r="H78" s="4"/>
      <c r="I78" s="5">
        <f t="shared" si="8"/>
        <v>146.62629094140883</v>
      </c>
      <c r="J78" s="5">
        <f t="shared" si="7"/>
        <v>38</v>
      </c>
      <c r="K78" s="5">
        <f t="shared" si="9"/>
        <v>146.62629094140883</v>
      </c>
      <c r="L78" s="4"/>
      <c r="M78" s="4"/>
      <c r="N78" s="4"/>
    </row>
    <row r="79" spans="4:14">
      <c r="D79" s="4">
        <v>73</v>
      </c>
      <c r="E79" s="4">
        <v>5</v>
      </c>
      <c r="F79" s="4">
        <v>57</v>
      </c>
      <c r="G79" s="4">
        <v>132.30000000000001</v>
      </c>
      <c r="H79" s="4"/>
      <c r="I79" s="5">
        <f t="shared" si="8"/>
        <v>117.30103275312706</v>
      </c>
      <c r="J79" s="5">
        <f t="shared" si="7"/>
        <v>30</v>
      </c>
      <c r="K79" s="5">
        <f t="shared" si="9"/>
        <v>115.75759811163854</v>
      </c>
      <c r="L79" s="4"/>
      <c r="M79" s="4"/>
      <c r="N79" s="4"/>
    </row>
    <row r="80" spans="4:14">
      <c r="D80" s="4">
        <v>73</v>
      </c>
      <c r="E80" s="4">
        <v>6</v>
      </c>
      <c r="F80" s="4">
        <v>57</v>
      </c>
      <c r="G80" s="4">
        <v>112.33</v>
      </c>
      <c r="H80" s="4"/>
      <c r="I80" s="5">
        <f t="shared" si="8"/>
        <v>97.750860627605888</v>
      </c>
      <c r="J80" s="5">
        <f t="shared" si="7"/>
        <v>24</v>
      </c>
      <c r="K80" s="5">
        <f t="shared" si="9"/>
        <v>92.606078489310832</v>
      </c>
      <c r="L80" s="4"/>
      <c r="M80" s="4"/>
      <c r="N80" s="4"/>
    </row>
    <row r="81" spans="4:14">
      <c r="D81" s="4">
        <v>73</v>
      </c>
      <c r="E81" s="4">
        <v>7</v>
      </c>
      <c r="F81" s="4">
        <v>57</v>
      </c>
      <c r="G81" s="4">
        <v>95.77</v>
      </c>
      <c r="H81" s="4"/>
      <c r="I81" s="5">
        <f t="shared" si="8"/>
        <v>83.786451966519323</v>
      </c>
      <c r="J81" s="5">
        <f t="shared" si="7"/>
        <v>22</v>
      </c>
      <c r="K81" s="5">
        <f t="shared" si="9"/>
        <v>84.888905281868261</v>
      </c>
      <c r="L81" s="4"/>
      <c r="M81" s="4"/>
      <c r="N81" s="4"/>
    </row>
    <row r="82" spans="4:14">
      <c r="D82" s="4">
        <v>73</v>
      </c>
      <c r="E82" s="4">
        <v>8</v>
      </c>
      <c r="F82" s="4">
        <v>57</v>
      </c>
      <c r="G82" s="4">
        <v>86.92</v>
      </c>
      <c r="H82" s="4"/>
      <c r="I82" s="5">
        <f t="shared" si="8"/>
        <v>73.313145470704413</v>
      </c>
      <c r="J82" s="5">
        <f t="shared" si="7"/>
        <v>18</v>
      </c>
      <c r="K82" s="5">
        <f t="shared" si="9"/>
        <v>69.45455886698312</v>
      </c>
      <c r="L82" s="4"/>
      <c r="M82" s="4"/>
      <c r="N82" s="4"/>
    </row>
    <row r="83" spans="4:14">
      <c r="D83" s="4">
        <v>75</v>
      </c>
      <c r="E83" s="4">
        <v>1</v>
      </c>
      <c r="F83" s="4">
        <v>58</v>
      </c>
      <c r="G83" s="4">
        <v>604.53</v>
      </c>
      <c r="H83" s="5">
        <f>POWER(2,0.038*F83+7.03)</f>
        <v>602.15872014897411</v>
      </c>
      <c r="I83" s="4"/>
      <c r="J83" s="5">
        <f t="shared" si="7"/>
        <v>152</v>
      </c>
      <c r="K83" s="4"/>
      <c r="L83" s="4"/>
      <c r="M83" s="4"/>
      <c r="N83" s="4"/>
    </row>
    <row r="84" spans="4:14">
      <c r="D84" s="4">
        <v>75</v>
      </c>
      <c r="E84" s="4">
        <v>2</v>
      </c>
      <c r="F84" s="4">
        <v>58</v>
      </c>
      <c r="G84" s="4">
        <v>317.07</v>
      </c>
      <c r="H84" s="4"/>
      <c r="I84" s="4"/>
      <c r="J84" s="5">
        <f t="shared" si="7"/>
        <v>75</v>
      </c>
      <c r="K84" s="4"/>
      <c r="L84" s="4"/>
      <c r="M84" s="4"/>
      <c r="N84" s="4"/>
    </row>
    <row r="85" spans="4:14">
      <c r="D85" s="4">
        <v>75</v>
      </c>
      <c r="E85" s="4">
        <v>3</v>
      </c>
      <c r="F85" s="4">
        <v>58</v>
      </c>
      <c r="G85" s="4">
        <v>215.51</v>
      </c>
      <c r="H85" s="4"/>
      <c r="I85" s="4"/>
      <c r="J85" s="5">
        <f t="shared" si="7"/>
        <v>50</v>
      </c>
      <c r="K85" s="4"/>
      <c r="L85" s="4"/>
      <c r="M85" s="4"/>
      <c r="N85" s="4"/>
    </row>
    <row r="86" spans="4:14">
      <c r="D86" s="4">
        <v>75</v>
      </c>
      <c r="E86" s="4">
        <v>4</v>
      </c>
      <c r="F86" s="4">
        <v>58</v>
      </c>
      <c r="G86" s="4">
        <v>169.63</v>
      </c>
      <c r="H86" s="4"/>
      <c r="I86" s="4"/>
      <c r="J86" s="5">
        <f t="shared" si="7"/>
        <v>38</v>
      </c>
      <c r="K86" s="4"/>
      <c r="L86" s="4"/>
      <c r="M86" s="4"/>
      <c r="N86" s="4"/>
    </row>
    <row r="87" spans="4:14">
      <c r="D87" s="4">
        <v>75</v>
      </c>
      <c r="E87" s="4">
        <v>5</v>
      </c>
      <c r="F87" s="4">
        <v>58</v>
      </c>
      <c r="G87" s="4">
        <v>133.11000000000001</v>
      </c>
      <c r="H87" s="4"/>
      <c r="I87" s="4"/>
      <c r="J87" s="5">
        <f t="shared" si="7"/>
        <v>29</v>
      </c>
      <c r="K87" s="4"/>
      <c r="L87" s="4"/>
      <c r="M87" s="4"/>
      <c r="N87" s="4"/>
    </row>
    <row r="88" spans="4:14">
      <c r="D88" s="4">
        <v>75</v>
      </c>
      <c r="E88" s="4">
        <v>6</v>
      </c>
      <c r="F88" s="4">
        <v>58</v>
      </c>
      <c r="G88" s="4">
        <v>116.65</v>
      </c>
      <c r="H88" s="4"/>
      <c r="I88" s="4"/>
      <c r="J88" s="5">
        <f t="shared" si="7"/>
        <v>24</v>
      </c>
      <c r="K88" s="4"/>
      <c r="L88" s="4"/>
      <c r="M88" s="4"/>
      <c r="N88" s="4"/>
    </row>
    <row r="89" spans="4:14">
      <c r="D89" s="4">
        <v>75</v>
      </c>
      <c r="E89" s="4">
        <v>7</v>
      </c>
      <c r="F89" s="4">
        <v>58</v>
      </c>
      <c r="G89" s="4">
        <v>108.66</v>
      </c>
      <c r="H89" s="4"/>
      <c r="I89" s="4"/>
      <c r="J89" s="5">
        <f t="shared" si="7"/>
        <v>22</v>
      </c>
      <c r="K89" s="4"/>
      <c r="L89" s="4"/>
      <c r="M89" s="4"/>
      <c r="N89" s="4"/>
    </row>
    <row r="90" spans="4:14">
      <c r="D90" s="4">
        <v>75</v>
      </c>
      <c r="E90" s="4">
        <v>8</v>
      </c>
      <c r="F90" s="4">
        <v>58</v>
      </c>
      <c r="G90" s="4">
        <v>90.66</v>
      </c>
      <c r="H90" s="4"/>
      <c r="I90" s="4"/>
      <c r="J90" s="5">
        <f t="shared" si="7"/>
        <v>18</v>
      </c>
      <c r="K90" s="4"/>
      <c r="L90" s="4"/>
      <c r="M90" s="4"/>
      <c r="N90" s="4"/>
    </row>
    <row r="91" spans="4:14">
      <c r="D91" s="4">
        <v>77</v>
      </c>
      <c r="E91" s="4">
        <v>1</v>
      </c>
      <c r="F91" s="4">
        <v>60</v>
      </c>
      <c r="G91" s="4">
        <v>620.92999999999995</v>
      </c>
      <c r="H91" s="5">
        <f>POWER(2,0.038*F91+7.03)</f>
        <v>634.73034236876128</v>
      </c>
      <c r="I91" s="4"/>
      <c r="J91" s="5">
        <f t="shared" si="7"/>
        <v>150</v>
      </c>
      <c r="K91" s="4"/>
      <c r="L91" s="4"/>
      <c r="M91" s="4"/>
      <c r="N91" s="4"/>
    </row>
    <row r="92" spans="4:14">
      <c r="D92" s="4">
        <v>77</v>
      </c>
      <c r="E92" s="4">
        <v>2</v>
      </c>
      <c r="F92" s="4">
        <v>60</v>
      </c>
      <c r="G92" s="4">
        <v>326.39999999999998</v>
      </c>
      <c r="H92" s="4"/>
      <c r="I92" s="4"/>
      <c r="J92" s="5">
        <f t="shared" si="7"/>
        <v>74</v>
      </c>
      <c r="K92" s="4"/>
      <c r="L92" s="4"/>
      <c r="M92" s="4"/>
      <c r="N92" s="4"/>
    </row>
    <row r="93" spans="4:14">
      <c r="D93" s="4">
        <v>77</v>
      </c>
      <c r="E93" s="4">
        <v>3</v>
      </c>
      <c r="F93" s="4">
        <v>60</v>
      </c>
      <c r="G93" s="4">
        <v>226.01</v>
      </c>
      <c r="H93" s="4"/>
      <c r="I93" s="4"/>
      <c r="J93" s="5">
        <f t="shared" si="7"/>
        <v>49</v>
      </c>
      <c r="K93" s="4"/>
      <c r="L93" s="4"/>
      <c r="M93" s="4"/>
      <c r="N93" s="4"/>
    </row>
    <row r="94" spans="4:14">
      <c r="D94" s="4">
        <v>77</v>
      </c>
      <c r="E94" s="4">
        <v>4</v>
      </c>
      <c r="F94" s="4">
        <v>60</v>
      </c>
      <c r="G94" s="4">
        <v>180.32</v>
      </c>
      <c r="H94" s="4"/>
      <c r="I94" s="4"/>
      <c r="J94" s="5">
        <f t="shared" si="7"/>
        <v>37</v>
      </c>
      <c r="K94" s="4"/>
      <c r="L94" s="4"/>
      <c r="M94" s="4"/>
      <c r="N94" s="4"/>
    </row>
    <row r="95" spans="4:14">
      <c r="D95" s="4">
        <v>77</v>
      </c>
      <c r="E95" s="4">
        <v>5</v>
      </c>
      <c r="F95" s="4">
        <v>60</v>
      </c>
      <c r="G95" s="4">
        <v>146.43</v>
      </c>
      <c r="H95" s="4"/>
      <c r="I95" s="4"/>
      <c r="J95" s="5">
        <f t="shared" si="7"/>
        <v>29</v>
      </c>
      <c r="K95" s="4"/>
      <c r="L95" s="4"/>
      <c r="M95" s="4"/>
      <c r="N95" s="4"/>
    </row>
    <row r="96" spans="4:14">
      <c r="D96" s="4">
        <v>77</v>
      </c>
      <c r="E96" s="4">
        <v>6</v>
      </c>
      <c r="F96" s="4">
        <v>60</v>
      </c>
      <c r="G96" s="4">
        <v>127.42</v>
      </c>
      <c r="H96" s="4"/>
      <c r="I96" s="4"/>
      <c r="J96" s="5">
        <f t="shared" si="7"/>
        <v>24</v>
      </c>
      <c r="K96" s="4"/>
      <c r="L96" s="4"/>
      <c r="M96" s="4"/>
      <c r="N96" s="4"/>
    </row>
    <row r="97" spans="4:14">
      <c r="D97" s="4">
        <v>77</v>
      </c>
      <c r="E97" s="4">
        <v>7</v>
      </c>
      <c r="F97" s="4">
        <v>60</v>
      </c>
      <c r="G97" s="4">
        <v>110.9</v>
      </c>
      <c r="H97" s="4"/>
      <c r="I97" s="4"/>
      <c r="J97" s="5">
        <f t="shared" si="7"/>
        <v>22</v>
      </c>
      <c r="K97" s="4"/>
      <c r="L97" s="4"/>
      <c r="M97" s="4"/>
      <c r="N97" s="4"/>
    </row>
    <row r="98" spans="4:14">
      <c r="D98" s="4">
        <v>77</v>
      </c>
      <c r="E98" s="4">
        <v>8</v>
      </c>
      <c r="F98" s="4">
        <v>60</v>
      </c>
      <c r="G98" s="4">
        <v>99.46</v>
      </c>
      <c r="H98" s="4"/>
      <c r="I98" s="4"/>
      <c r="J98" s="5">
        <f t="shared" si="7"/>
        <v>18</v>
      </c>
      <c r="K98" s="4"/>
      <c r="L98" s="4"/>
      <c r="M98" s="4"/>
      <c r="N98" s="4"/>
    </row>
    <row r="99" spans="4:14">
      <c r="D99" s="4">
        <v>79</v>
      </c>
      <c r="E99" s="4">
        <v>1</v>
      </c>
      <c r="F99" s="4">
        <v>62</v>
      </c>
      <c r="G99" s="4">
        <v>674.55</v>
      </c>
      <c r="H99" s="4">
        <f>POWER(2,0.05*F99 + 6.31)</f>
        <v>680.28713681741408</v>
      </c>
      <c r="I99" s="4"/>
      <c r="J99" s="5">
        <f t="shared" si="7"/>
        <v>148</v>
      </c>
      <c r="K99" s="4"/>
      <c r="L99" s="4"/>
      <c r="M99" s="4"/>
      <c r="N99" s="4"/>
    </row>
    <row r="100" spans="4:14">
      <c r="D100" s="4">
        <v>79</v>
      </c>
      <c r="E100" s="4">
        <v>2</v>
      </c>
      <c r="F100" s="4">
        <v>62</v>
      </c>
      <c r="G100" s="4">
        <v>348.94</v>
      </c>
      <c r="H100" s="4"/>
      <c r="I100" s="5">
        <f>$H$99/E100</f>
        <v>340.14356840870704</v>
      </c>
      <c r="J100" s="5">
        <f t="shared" si="7"/>
        <v>73</v>
      </c>
      <c r="K100" s="5">
        <f>$H$99/$J$99*J100</f>
        <v>335.54703370048128</v>
      </c>
      <c r="L100" s="4"/>
      <c r="M100" s="4"/>
      <c r="N100" s="4"/>
    </row>
    <row r="101" spans="4:14">
      <c r="D101" s="4">
        <v>79</v>
      </c>
      <c r="E101" s="4">
        <v>3</v>
      </c>
      <c r="F101" s="4">
        <v>62</v>
      </c>
      <c r="G101" s="4">
        <v>241.01</v>
      </c>
      <c r="H101" s="4"/>
      <c r="I101" s="5">
        <f t="shared" ref="I101:I106" si="10">$H$99/E101</f>
        <v>226.76237893913802</v>
      </c>
      <c r="J101" s="5">
        <f t="shared" si="7"/>
        <v>48</v>
      </c>
      <c r="K101" s="5">
        <f t="shared" ref="K101:K106" si="11">$H$99/$J$99*J101</f>
        <v>220.63366599483697</v>
      </c>
      <c r="L101" s="4"/>
      <c r="M101" s="4"/>
      <c r="N101" s="4"/>
    </row>
    <row r="102" spans="4:14">
      <c r="D102" s="4">
        <v>79</v>
      </c>
      <c r="E102" s="4">
        <v>4</v>
      </c>
      <c r="F102" s="4">
        <v>62</v>
      </c>
      <c r="G102" s="4">
        <v>189.86</v>
      </c>
      <c r="H102" s="4"/>
      <c r="I102" s="5">
        <f t="shared" si="10"/>
        <v>170.07178420435352</v>
      </c>
      <c r="J102" s="5">
        <f t="shared" si="7"/>
        <v>37</v>
      </c>
      <c r="K102" s="5">
        <f t="shared" si="11"/>
        <v>170.07178420435352</v>
      </c>
      <c r="L102" s="4"/>
      <c r="M102" s="4"/>
      <c r="N102" s="4"/>
    </row>
    <row r="103" spans="4:14">
      <c r="D103" s="4">
        <v>79</v>
      </c>
      <c r="E103" s="4">
        <v>5</v>
      </c>
      <c r="F103" s="4">
        <v>62</v>
      </c>
      <c r="G103" s="4">
        <v>150.02000000000001</v>
      </c>
      <c r="H103" s="4"/>
      <c r="I103" s="5">
        <f t="shared" si="10"/>
        <v>136.05742736348282</v>
      </c>
      <c r="J103" s="5">
        <f t="shared" si="7"/>
        <v>28</v>
      </c>
      <c r="K103" s="5">
        <f t="shared" si="11"/>
        <v>128.70297183032159</v>
      </c>
      <c r="L103" s="4"/>
      <c r="M103" s="4"/>
      <c r="N103" s="4"/>
    </row>
    <row r="104" spans="4:14">
      <c r="D104" s="4">
        <v>79</v>
      </c>
      <c r="E104" s="4">
        <v>6</v>
      </c>
      <c r="F104" s="4">
        <v>62</v>
      </c>
      <c r="G104" s="4">
        <v>131.61000000000001</v>
      </c>
      <c r="H104" s="4"/>
      <c r="I104" s="5">
        <f t="shared" si="10"/>
        <v>113.38118946956901</v>
      </c>
      <c r="J104" s="5">
        <f t="shared" si="7"/>
        <v>23</v>
      </c>
      <c r="K104" s="5">
        <f t="shared" si="11"/>
        <v>105.72029828919273</v>
      </c>
      <c r="L104" s="4"/>
      <c r="M104" s="4"/>
      <c r="N104" s="4"/>
    </row>
    <row r="105" spans="4:14">
      <c r="D105" s="4">
        <v>79</v>
      </c>
      <c r="E105" s="4">
        <v>7</v>
      </c>
      <c r="F105" s="4">
        <v>62</v>
      </c>
      <c r="G105" s="4">
        <v>122.32</v>
      </c>
      <c r="H105" s="4"/>
      <c r="I105" s="5">
        <f t="shared" si="10"/>
        <v>97.183876688202005</v>
      </c>
      <c r="J105" s="5">
        <f t="shared" si="7"/>
        <v>21</v>
      </c>
      <c r="K105" s="5">
        <f t="shared" si="11"/>
        <v>96.527228872741176</v>
      </c>
      <c r="L105" s="4"/>
      <c r="M105" s="4"/>
      <c r="N105" s="4"/>
    </row>
    <row r="106" spans="4:14">
      <c r="D106" s="4">
        <v>79</v>
      </c>
      <c r="E106" s="4">
        <v>8</v>
      </c>
      <c r="F106" s="4">
        <v>62</v>
      </c>
      <c r="G106" s="4">
        <v>108.82</v>
      </c>
      <c r="H106" s="4"/>
      <c r="I106" s="5">
        <f t="shared" si="10"/>
        <v>85.03589210217676</v>
      </c>
      <c r="J106" s="5">
        <f t="shared" si="7"/>
        <v>18</v>
      </c>
      <c r="K106" s="5">
        <f t="shared" si="11"/>
        <v>82.737624748063865</v>
      </c>
      <c r="L106" s="4"/>
      <c r="M106" s="4"/>
      <c r="N106" s="4"/>
    </row>
    <row r="107" spans="4:14">
      <c r="D107" s="4">
        <v>81</v>
      </c>
      <c r="E107" s="4">
        <v>1</v>
      </c>
      <c r="F107" s="4">
        <v>64</v>
      </c>
      <c r="G107" s="4">
        <v>722.83</v>
      </c>
      <c r="H107" s="4"/>
      <c r="I107" s="4"/>
      <c r="J107" s="5">
        <f t="shared" si="7"/>
        <v>146</v>
      </c>
      <c r="K107" s="4"/>
      <c r="L107" s="4"/>
      <c r="M107" s="4"/>
      <c r="N107" s="4"/>
    </row>
    <row r="108" spans="4:14">
      <c r="D108" s="4">
        <v>81</v>
      </c>
      <c r="E108" s="4">
        <v>2</v>
      </c>
      <c r="F108" s="4">
        <v>64</v>
      </c>
      <c r="G108" s="4">
        <v>391.04</v>
      </c>
      <c r="H108" s="4"/>
      <c r="I108" s="4"/>
      <c r="J108" s="5">
        <f t="shared" si="7"/>
        <v>72</v>
      </c>
      <c r="K108" s="4"/>
      <c r="L108" s="4"/>
      <c r="M108" s="4"/>
      <c r="N108" s="4"/>
    </row>
    <row r="109" spans="4:14">
      <c r="D109" s="4">
        <v>81</v>
      </c>
      <c r="E109" s="4">
        <v>3</v>
      </c>
      <c r="F109" s="4">
        <v>64</v>
      </c>
      <c r="G109" s="4">
        <v>267.83</v>
      </c>
      <c r="H109" s="4"/>
      <c r="I109" s="4"/>
      <c r="J109" s="5">
        <f t="shared" si="7"/>
        <v>48</v>
      </c>
      <c r="K109" s="4"/>
      <c r="L109" s="4"/>
      <c r="M109" s="4"/>
      <c r="N109" s="4"/>
    </row>
    <row r="110" spans="4:14">
      <c r="D110" s="4">
        <v>81</v>
      </c>
      <c r="E110" s="4">
        <v>4</v>
      </c>
      <c r="F110" s="4">
        <v>64</v>
      </c>
      <c r="G110" s="4">
        <v>211.64</v>
      </c>
      <c r="H110" s="4"/>
      <c r="I110" s="4"/>
      <c r="J110" s="5">
        <f t="shared" si="7"/>
        <v>36</v>
      </c>
      <c r="K110" s="4"/>
      <c r="L110" s="4"/>
      <c r="M110" s="4"/>
      <c r="N110" s="4"/>
    </row>
    <row r="111" spans="4:14">
      <c r="D111" s="4">
        <v>81</v>
      </c>
      <c r="E111" s="4">
        <v>5</v>
      </c>
      <c r="F111" s="4">
        <v>64</v>
      </c>
      <c r="G111" s="4">
        <v>171.65</v>
      </c>
      <c r="H111" s="4"/>
      <c r="I111" s="4"/>
      <c r="J111" s="5">
        <f t="shared" si="7"/>
        <v>28</v>
      </c>
      <c r="K111" s="4"/>
      <c r="L111" s="4"/>
      <c r="M111" s="4"/>
      <c r="N111" s="4"/>
    </row>
    <row r="112" spans="4:14">
      <c r="D112" s="4">
        <v>81</v>
      </c>
      <c r="E112" s="4">
        <v>6</v>
      </c>
      <c r="F112" s="4">
        <v>64</v>
      </c>
      <c r="G112" s="4">
        <v>146.69</v>
      </c>
      <c r="H112" s="4"/>
      <c r="I112" s="4"/>
      <c r="J112" s="5">
        <f t="shared" si="7"/>
        <v>23</v>
      </c>
      <c r="K112" s="4"/>
      <c r="L112" s="4"/>
      <c r="M112" s="4"/>
      <c r="N112" s="4"/>
    </row>
    <row r="113" spans="4:14">
      <c r="D113" s="4">
        <v>81</v>
      </c>
      <c r="E113" s="4">
        <v>7</v>
      </c>
      <c r="F113" s="4">
        <v>64</v>
      </c>
      <c r="G113" s="4">
        <v>135.11000000000001</v>
      </c>
      <c r="H113" s="4"/>
      <c r="I113" s="4"/>
      <c r="J113" s="5">
        <f t="shared" si="7"/>
        <v>21</v>
      </c>
      <c r="K113" s="4"/>
      <c r="L113" s="4"/>
      <c r="M113" s="4"/>
      <c r="N113" s="4"/>
    </row>
    <row r="114" spans="4:14">
      <c r="D114" s="4">
        <v>81</v>
      </c>
      <c r="E114" s="4">
        <v>8</v>
      </c>
      <c r="F114" s="4">
        <v>64</v>
      </c>
      <c r="G114" s="4">
        <v>115.29</v>
      </c>
      <c r="H114" s="4"/>
      <c r="I114" s="4"/>
      <c r="J114" s="5">
        <f t="shared" si="7"/>
        <v>17</v>
      </c>
      <c r="K114" s="4"/>
      <c r="L114" s="4"/>
      <c r="M114" s="4"/>
      <c r="N114" s="4"/>
    </row>
    <row r="115" spans="4:14">
      <c r="D115" s="4">
        <v>83</v>
      </c>
      <c r="E115" s="4">
        <v>1</v>
      </c>
      <c r="F115" s="4">
        <v>66</v>
      </c>
      <c r="G115" s="4">
        <v>1030.5899999999999</v>
      </c>
      <c r="H115" s="4"/>
      <c r="I115" s="4"/>
      <c r="J115" s="5">
        <f t="shared" si="7"/>
        <v>144</v>
      </c>
      <c r="K115" s="4"/>
      <c r="L115" s="4"/>
      <c r="M115" s="4"/>
      <c r="N115" s="4"/>
    </row>
    <row r="116" spans="4:14">
      <c r="D116" s="4">
        <v>83</v>
      </c>
      <c r="E116" s="4">
        <v>2</v>
      </c>
      <c r="F116" s="4">
        <v>66</v>
      </c>
      <c r="G116" s="4">
        <v>546.49</v>
      </c>
      <c r="H116" s="4"/>
      <c r="I116" s="4"/>
      <c r="J116" s="5">
        <f t="shared" si="7"/>
        <v>71</v>
      </c>
      <c r="K116" s="4"/>
      <c r="L116" s="4"/>
      <c r="M116" s="4"/>
      <c r="N116" s="4"/>
    </row>
    <row r="117" spans="4:14">
      <c r="D117" s="4">
        <v>83</v>
      </c>
      <c r="E117" s="4">
        <v>3</v>
      </c>
      <c r="F117" s="4">
        <v>66</v>
      </c>
      <c r="G117" s="4">
        <v>375.72</v>
      </c>
      <c r="H117" s="4"/>
      <c r="I117" s="4"/>
      <c r="J117" s="5">
        <f t="shared" si="7"/>
        <v>47</v>
      </c>
      <c r="K117" s="4"/>
      <c r="L117" s="4"/>
      <c r="M117" s="4"/>
      <c r="N117" s="4"/>
    </row>
    <row r="118" spans="4:14">
      <c r="D118" s="4">
        <v>83</v>
      </c>
      <c r="E118" s="4">
        <v>4</v>
      </c>
      <c r="F118" s="4">
        <v>66</v>
      </c>
      <c r="G118" s="4">
        <v>296.58999999999997</v>
      </c>
      <c r="H118" s="4"/>
      <c r="I118" s="4"/>
      <c r="J118" s="5">
        <f t="shared" si="7"/>
        <v>36</v>
      </c>
      <c r="K118" s="4"/>
      <c r="L118" s="4"/>
      <c r="M118" s="4"/>
      <c r="N118" s="4"/>
    </row>
    <row r="119" spans="4:14">
      <c r="D119" s="4">
        <v>83</v>
      </c>
      <c r="E119" s="4">
        <v>5</v>
      </c>
      <c r="F119" s="4">
        <v>66</v>
      </c>
      <c r="G119" s="4">
        <v>233.44</v>
      </c>
      <c r="H119" s="4"/>
      <c r="I119" s="4"/>
      <c r="J119" s="5">
        <f t="shared" si="7"/>
        <v>28</v>
      </c>
      <c r="K119" s="4"/>
      <c r="L119" s="4"/>
      <c r="M119" s="4"/>
      <c r="N119" s="4"/>
    </row>
    <row r="120" spans="4:14">
      <c r="D120" s="4">
        <v>83</v>
      </c>
      <c r="E120" s="4">
        <v>6</v>
      </c>
      <c r="F120" s="4">
        <v>66</v>
      </c>
      <c r="G120" s="4">
        <v>209.79</v>
      </c>
      <c r="H120" s="4"/>
      <c r="I120" s="4"/>
      <c r="J120" s="5">
        <f t="shared" si="7"/>
        <v>23</v>
      </c>
      <c r="K120" s="4"/>
      <c r="L120" s="4"/>
      <c r="M120" s="4"/>
      <c r="N120" s="4"/>
    </row>
    <row r="121" spans="4:14">
      <c r="D121" s="4">
        <v>83</v>
      </c>
      <c r="E121" s="4">
        <v>7</v>
      </c>
      <c r="F121" s="4">
        <v>66</v>
      </c>
      <c r="G121" s="4">
        <v>193.71</v>
      </c>
      <c r="H121" s="4"/>
      <c r="I121" s="4"/>
      <c r="J121" s="5">
        <f t="shared" si="7"/>
        <v>21</v>
      </c>
      <c r="K121" s="4"/>
      <c r="L121" s="4"/>
      <c r="M121" s="4"/>
      <c r="N121" s="4"/>
    </row>
    <row r="122" spans="4:14">
      <c r="D122" s="4">
        <v>83</v>
      </c>
      <c r="E122" s="4">
        <v>8</v>
      </c>
      <c r="F122" s="4">
        <v>66</v>
      </c>
      <c r="G122" s="4">
        <v>162.99</v>
      </c>
      <c r="H122" s="4"/>
      <c r="I122" s="4"/>
      <c r="J122" s="5">
        <f t="shared" si="7"/>
        <v>17</v>
      </c>
      <c r="K122" s="4"/>
      <c r="L122" s="4"/>
      <c r="M122" s="4"/>
      <c r="N122" s="4"/>
    </row>
    <row r="123" spans="4:14">
      <c r="D123" s="4">
        <v>85</v>
      </c>
      <c r="E123" s="4">
        <v>1</v>
      </c>
      <c r="F123" s="4">
        <v>68</v>
      </c>
      <c r="G123" s="4">
        <v>1133.0899999999999</v>
      </c>
      <c r="H123" s="4"/>
      <c r="I123" s="4"/>
      <c r="J123" s="5">
        <f t="shared" si="7"/>
        <v>142</v>
      </c>
      <c r="K123" s="4"/>
      <c r="L123" s="4"/>
      <c r="M123" s="4"/>
      <c r="N123" s="4"/>
    </row>
    <row r="124" spans="4:14">
      <c r="D124" s="4">
        <v>85</v>
      </c>
      <c r="E124" s="4">
        <v>2</v>
      </c>
      <c r="F124" s="4">
        <v>68</v>
      </c>
      <c r="G124" s="4">
        <v>598.67999999999995</v>
      </c>
      <c r="H124" s="4"/>
      <c r="I124" s="4"/>
      <c r="J124" s="5">
        <f t="shared" si="7"/>
        <v>70</v>
      </c>
      <c r="K124" s="4"/>
      <c r="L124" s="4"/>
      <c r="M124" s="4"/>
      <c r="N124" s="4"/>
    </row>
    <row r="125" spans="4:14">
      <c r="D125" s="4">
        <v>85</v>
      </c>
      <c r="E125" s="4">
        <v>3</v>
      </c>
      <c r="F125" s="4">
        <v>68</v>
      </c>
      <c r="G125" s="4">
        <v>400.47</v>
      </c>
      <c r="H125" s="4"/>
      <c r="I125" s="4"/>
      <c r="J125" s="5">
        <f t="shared" si="7"/>
        <v>46</v>
      </c>
      <c r="K125" s="4"/>
      <c r="L125" s="4"/>
      <c r="M125" s="4"/>
      <c r="N125" s="4"/>
    </row>
    <row r="126" spans="4:14">
      <c r="D126" s="4">
        <v>85</v>
      </c>
      <c r="E126" s="4">
        <v>4</v>
      </c>
      <c r="F126" s="4">
        <v>68</v>
      </c>
      <c r="G126" s="4">
        <v>317.89999999999998</v>
      </c>
      <c r="H126" s="4"/>
      <c r="I126" s="4"/>
      <c r="J126" s="5">
        <f t="shared" si="7"/>
        <v>35</v>
      </c>
      <c r="K126" s="4"/>
      <c r="L126" s="4"/>
      <c r="M126" s="4"/>
      <c r="N126" s="4"/>
    </row>
    <row r="127" spans="4:14">
      <c r="D127" s="4">
        <v>85</v>
      </c>
      <c r="E127" s="4">
        <v>5</v>
      </c>
      <c r="F127" s="4">
        <v>68</v>
      </c>
      <c r="G127" s="4">
        <v>261.85000000000002</v>
      </c>
      <c r="H127" s="4"/>
      <c r="I127" s="4"/>
      <c r="J127" s="5">
        <f t="shared" si="7"/>
        <v>27</v>
      </c>
      <c r="K127" s="4"/>
      <c r="L127" s="4"/>
      <c r="M127" s="4"/>
      <c r="N127" s="4"/>
    </row>
    <row r="128" spans="4:14">
      <c r="D128" s="4">
        <v>85</v>
      </c>
      <c r="E128" s="4">
        <v>6</v>
      </c>
      <c r="F128" s="4">
        <v>68</v>
      </c>
      <c r="G128" s="4">
        <v>221.93</v>
      </c>
      <c r="H128" s="4"/>
      <c r="I128" s="4"/>
      <c r="J128" s="5">
        <f t="shared" si="7"/>
        <v>22</v>
      </c>
      <c r="K128" s="4"/>
      <c r="L128" s="4"/>
      <c r="M128" s="4"/>
      <c r="N128" s="4"/>
    </row>
    <row r="129" spans="4:14">
      <c r="D129" s="4">
        <v>85</v>
      </c>
      <c r="E129" s="4">
        <v>7</v>
      </c>
      <c r="F129" s="4">
        <v>68</v>
      </c>
      <c r="G129" s="4">
        <v>205.76</v>
      </c>
      <c r="H129" s="4"/>
      <c r="I129" s="4"/>
      <c r="J129" s="5">
        <f t="shared" si="7"/>
        <v>20</v>
      </c>
      <c r="K129" s="4"/>
      <c r="L129" s="4"/>
      <c r="M129" s="4"/>
      <c r="N129" s="4"/>
    </row>
    <row r="130" spans="4:14">
      <c r="D130" s="4">
        <v>85</v>
      </c>
      <c r="E130" s="4">
        <v>8</v>
      </c>
      <c r="F130" s="4">
        <v>68</v>
      </c>
      <c r="G130" s="4">
        <v>181.61</v>
      </c>
      <c r="H130" s="4"/>
      <c r="I130" s="4"/>
      <c r="J130" s="5">
        <f t="shared" si="7"/>
        <v>17</v>
      </c>
      <c r="K130" s="4"/>
      <c r="L130" s="4"/>
      <c r="M130" s="4"/>
      <c r="N130" s="4"/>
    </row>
    <row r="131" spans="4:14">
      <c r="D131" s="4">
        <v>87</v>
      </c>
      <c r="E131" s="4">
        <v>1</v>
      </c>
      <c r="F131" s="4">
        <v>69</v>
      </c>
      <c r="G131" s="4">
        <v>1214.9100000000001</v>
      </c>
      <c r="H131" s="4"/>
      <c r="I131" s="4"/>
      <c r="J131" s="5">
        <f t="shared" si="7"/>
        <v>142</v>
      </c>
      <c r="K131" s="4"/>
      <c r="L131" s="4"/>
      <c r="M131" s="4"/>
      <c r="N131" s="4"/>
    </row>
    <row r="132" spans="4:14">
      <c r="D132" s="4">
        <v>87</v>
      </c>
      <c r="E132" s="4">
        <v>2</v>
      </c>
      <c r="F132" s="4">
        <v>69</v>
      </c>
      <c r="G132" s="4">
        <v>638.48</v>
      </c>
      <c r="H132" s="4"/>
      <c r="I132" s="4"/>
      <c r="J132" s="5">
        <f t="shared" si="7"/>
        <v>71</v>
      </c>
      <c r="K132" s="4"/>
      <c r="L132" s="4"/>
      <c r="M132" s="4"/>
      <c r="N132" s="4"/>
    </row>
    <row r="133" spans="4:14">
      <c r="D133" s="4">
        <v>87</v>
      </c>
      <c r="E133" s="4">
        <v>3</v>
      </c>
      <c r="F133" s="4">
        <v>69</v>
      </c>
      <c r="G133" s="4">
        <v>431.21</v>
      </c>
      <c r="H133" s="4"/>
      <c r="I133" s="4"/>
      <c r="J133" s="5">
        <f t="shared" si="7"/>
        <v>48</v>
      </c>
      <c r="K133" s="4"/>
      <c r="L133" s="4"/>
      <c r="M133" s="4"/>
      <c r="N133" s="4"/>
    </row>
    <row r="134" spans="4:14">
      <c r="D134" s="4">
        <v>87</v>
      </c>
      <c r="E134" s="4">
        <v>4</v>
      </c>
      <c r="F134" s="4">
        <v>69</v>
      </c>
      <c r="G134" s="4">
        <v>346.09</v>
      </c>
      <c r="H134" s="4"/>
      <c r="I134" s="4"/>
      <c r="J134" s="5">
        <f t="shared" si="7"/>
        <v>35</v>
      </c>
      <c r="K134" s="4"/>
      <c r="L134" s="4"/>
      <c r="M134" s="4"/>
      <c r="N134" s="4"/>
    </row>
    <row r="135" spans="4:14">
      <c r="D135" s="4">
        <v>87</v>
      </c>
      <c r="E135" s="4">
        <v>5</v>
      </c>
      <c r="F135" s="4">
        <v>69</v>
      </c>
      <c r="G135" s="4">
        <v>280.06</v>
      </c>
      <c r="H135" s="4"/>
      <c r="I135" s="4"/>
      <c r="J135" s="5">
        <f t="shared" si="7"/>
        <v>29</v>
      </c>
      <c r="K135" s="4"/>
      <c r="L135" s="4"/>
      <c r="M135" s="4"/>
      <c r="N135" s="4"/>
    </row>
    <row r="136" spans="4:14">
      <c r="D136" s="4">
        <v>87</v>
      </c>
      <c r="E136" s="4">
        <v>6</v>
      </c>
      <c r="F136" s="4">
        <v>69</v>
      </c>
      <c r="G136" s="4">
        <v>237.54</v>
      </c>
      <c r="H136" s="4"/>
      <c r="I136" s="4"/>
      <c r="J136" s="5">
        <f t="shared" si="7"/>
        <v>24</v>
      </c>
      <c r="K136" s="4"/>
      <c r="L136" s="4"/>
      <c r="M136" s="4"/>
      <c r="N136" s="4"/>
    </row>
    <row r="137" spans="4:14">
      <c r="D137" s="4">
        <v>87</v>
      </c>
      <c r="E137" s="4">
        <v>7</v>
      </c>
      <c r="F137" s="4">
        <v>69</v>
      </c>
      <c r="G137" s="4">
        <v>222.46</v>
      </c>
      <c r="H137" s="4"/>
      <c r="I137" s="4"/>
      <c r="J137" s="5">
        <f t="shared" ref="J137:J200" si="12">2*(ROUNDDOWN((D137-F137+12)/E137,0)) + (ROUNDDOWN((180-D137-12)/E137,0)) + 1</f>
        <v>20</v>
      </c>
      <c r="K137" s="4"/>
      <c r="L137" s="4"/>
      <c r="M137" s="4"/>
      <c r="N137" s="4"/>
    </row>
    <row r="138" spans="4:14">
      <c r="D138" s="4">
        <v>87</v>
      </c>
      <c r="E138" s="4">
        <v>8</v>
      </c>
      <c r="F138" s="4">
        <v>69</v>
      </c>
      <c r="G138" s="4">
        <v>197.49</v>
      </c>
      <c r="H138" s="4"/>
      <c r="I138" s="4"/>
      <c r="J138" s="5">
        <f t="shared" si="12"/>
        <v>17</v>
      </c>
      <c r="K138" s="4"/>
      <c r="L138" s="4"/>
      <c r="M138" s="4"/>
      <c r="N138" s="4"/>
    </row>
    <row r="139" spans="4:14">
      <c r="D139" s="4">
        <v>87</v>
      </c>
      <c r="E139" s="4">
        <v>9</v>
      </c>
      <c r="F139" s="4">
        <v>69</v>
      </c>
      <c r="G139" s="4">
        <v>175.47</v>
      </c>
      <c r="H139" s="4"/>
      <c r="I139" s="4"/>
      <c r="J139" s="5">
        <f t="shared" si="12"/>
        <v>16</v>
      </c>
      <c r="K139" s="4"/>
      <c r="L139" s="4"/>
      <c r="M139" s="4"/>
      <c r="N139" s="4"/>
    </row>
    <row r="140" spans="4:14">
      <c r="D140" s="4">
        <v>89</v>
      </c>
      <c r="E140" s="4">
        <v>1</v>
      </c>
      <c r="F140" s="4">
        <v>71</v>
      </c>
      <c r="G140" s="4">
        <v>1321.3</v>
      </c>
      <c r="H140" s="4"/>
      <c r="I140" s="4"/>
      <c r="J140" s="5">
        <f t="shared" si="12"/>
        <v>140</v>
      </c>
      <c r="K140" s="4"/>
      <c r="L140" s="4"/>
      <c r="M140" s="4"/>
      <c r="N140" s="4"/>
    </row>
    <row r="141" spans="4:14">
      <c r="D141" s="4">
        <v>89</v>
      </c>
      <c r="E141" s="4">
        <v>2</v>
      </c>
      <c r="F141" s="4">
        <v>71</v>
      </c>
      <c r="G141" s="4">
        <v>685.68</v>
      </c>
      <c r="H141" s="4"/>
      <c r="I141" s="4"/>
      <c r="J141" s="5">
        <f t="shared" si="12"/>
        <v>70</v>
      </c>
      <c r="K141" s="4"/>
      <c r="L141" s="4"/>
      <c r="M141" s="4"/>
      <c r="N141" s="4"/>
    </row>
    <row r="142" spans="4:14">
      <c r="D142" s="4">
        <v>89</v>
      </c>
      <c r="E142" s="4">
        <v>3</v>
      </c>
      <c r="F142" s="4">
        <v>71</v>
      </c>
      <c r="G142" s="4">
        <v>476.5</v>
      </c>
      <c r="H142" s="4"/>
      <c r="I142" s="4"/>
      <c r="J142" s="5">
        <f t="shared" si="12"/>
        <v>47</v>
      </c>
      <c r="K142" s="4"/>
      <c r="L142" s="4"/>
      <c r="M142" s="4"/>
      <c r="N142" s="4"/>
    </row>
    <row r="143" spans="4:14">
      <c r="D143" s="4">
        <v>89</v>
      </c>
      <c r="E143" s="4">
        <v>4</v>
      </c>
      <c r="F143" s="4">
        <v>71</v>
      </c>
      <c r="G143" s="4">
        <v>370.04</v>
      </c>
      <c r="H143" s="4"/>
      <c r="I143" s="4"/>
      <c r="J143" s="5">
        <f t="shared" si="12"/>
        <v>34</v>
      </c>
      <c r="K143" s="4"/>
      <c r="L143" s="4"/>
      <c r="M143" s="4"/>
      <c r="N143" s="4"/>
    </row>
    <row r="144" spans="4:14">
      <c r="D144" s="4">
        <v>89</v>
      </c>
      <c r="E144" s="4">
        <v>5</v>
      </c>
      <c r="F144" s="4">
        <v>71</v>
      </c>
      <c r="G144" s="4">
        <v>295.81</v>
      </c>
      <c r="H144" s="4"/>
      <c r="I144" s="4"/>
      <c r="J144" s="5">
        <f t="shared" si="12"/>
        <v>28</v>
      </c>
      <c r="K144" s="4"/>
      <c r="L144" s="4"/>
      <c r="M144" s="4"/>
      <c r="N144" s="4"/>
    </row>
    <row r="145" spans="4:14">
      <c r="D145" s="4">
        <v>89</v>
      </c>
      <c r="E145" s="4">
        <v>6</v>
      </c>
      <c r="F145" s="4">
        <v>71</v>
      </c>
      <c r="G145" s="4">
        <v>258.02</v>
      </c>
      <c r="H145" s="4"/>
      <c r="I145" s="4"/>
      <c r="J145" s="5">
        <f t="shared" si="12"/>
        <v>24</v>
      </c>
      <c r="K145" s="4"/>
      <c r="L145" s="4"/>
      <c r="M145" s="4"/>
      <c r="N145" s="4"/>
    </row>
    <row r="146" spans="4:14">
      <c r="D146" s="4">
        <v>89</v>
      </c>
      <c r="E146" s="4">
        <v>7</v>
      </c>
      <c r="F146" s="4">
        <v>71</v>
      </c>
      <c r="G146" s="4">
        <v>237.45</v>
      </c>
      <c r="H146" s="4"/>
      <c r="I146" s="4"/>
      <c r="J146" s="5">
        <f t="shared" si="12"/>
        <v>20</v>
      </c>
      <c r="K146" s="4"/>
      <c r="L146" s="4"/>
      <c r="M146" s="4"/>
      <c r="N146" s="4"/>
    </row>
    <row r="147" spans="4:14">
      <c r="D147" s="4">
        <v>89</v>
      </c>
      <c r="E147" s="4">
        <v>8</v>
      </c>
      <c r="F147" s="4">
        <v>71</v>
      </c>
      <c r="G147" s="4">
        <v>200.81</v>
      </c>
      <c r="H147" s="4"/>
      <c r="I147" s="4"/>
      <c r="J147" s="5">
        <f t="shared" si="12"/>
        <v>16</v>
      </c>
      <c r="K147" s="4"/>
      <c r="L147" s="4"/>
      <c r="M147" s="4"/>
      <c r="N147" s="4"/>
    </row>
    <row r="148" spans="4:14">
      <c r="D148" s="4">
        <v>89</v>
      </c>
      <c r="E148" s="4">
        <v>9</v>
      </c>
      <c r="F148" s="4">
        <v>71</v>
      </c>
      <c r="G148" s="4">
        <v>193.6</v>
      </c>
      <c r="H148" s="4"/>
      <c r="I148" s="4"/>
      <c r="J148" s="5">
        <f t="shared" si="12"/>
        <v>15</v>
      </c>
      <c r="K148" s="4"/>
      <c r="L148" s="4"/>
      <c r="M148" s="4"/>
      <c r="N148" s="4"/>
    </row>
    <row r="149" spans="4:14">
      <c r="D149" s="4">
        <v>91</v>
      </c>
      <c r="E149" s="4">
        <v>6</v>
      </c>
      <c r="F149" s="4">
        <v>73</v>
      </c>
      <c r="G149" s="4">
        <v>271.97000000000003</v>
      </c>
      <c r="H149" s="4"/>
      <c r="I149" s="4"/>
      <c r="J149" s="5">
        <f t="shared" si="12"/>
        <v>23</v>
      </c>
      <c r="K149" s="4"/>
      <c r="L149" s="4"/>
      <c r="M149" s="4"/>
      <c r="N149" s="4"/>
    </row>
    <row r="150" spans="4:14">
      <c r="D150" s="4">
        <v>91</v>
      </c>
      <c r="E150" s="4">
        <v>7</v>
      </c>
      <c r="F150" s="4">
        <v>73</v>
      </c>
      <c r="G150" s="4">
        <v>243.95</v>
      </c>
      <c r="H150" s="4"/>
      <c r="I150" s="4"/>
      <c r="J150" s="5">
        <f t="shared" si="12"/>
        <v>20</v>
      </c>
      <c r="K150" s="4"/>
      <c r="L150" s="4"/>
      <c r="M150" s="4"/>
      <c r="N150" s="4"/>
    </row>
    <row r="151" spans="4:14">
      <c r="D151" s="4">
        <v>91</v>
      </c>
      <c r="E151" s="4">
        <v>8</v>
      </c>
      <c r="F151" s="4">
        <v>73</v>
      </c>
      <c r="G151" s="4">
        <v>222.69</v>
      </c>
      <c r="H151" s="4"/>
      <c r="I151" s="4"/>
      <c r="J151" s="5">
        <f t="shared" si="12"/>
        <v>16</v>
      </c>
      <c r="K151" s="4"/>
      <c r="L151" s="4"/>
      <c r="M151" s="4"/>
      <c r="N151" s="4"/>
    </row>
    <row r="152" spans="4:14">
      <c r="D152" s="4">
        <v>91</v>
      </c>
      <c r="E152" s="4">
        <v>9</v>
      </c>
      <c r="F152" s="4">
        <v>73</v>
      </c>
      <c r="G152" s="4">
        <v>211.72</v>
      </c>
      <c r="H152" s="4"/>
      <c r="I152" s="4"/>
      <c r="J152" s="5">
        <f t="shared" si="12"/>
        <v>15</v>
      </c>
      <c r="K152" s="4"/>
      <c r="L152" s="4"/>
      <c r="M152" s="4"/>
      <c r="N152" s="4"/>
    </row>
    <row r="153" spans="4:14">
      <c r="D153" s="4">
        <v>91</v>
      </c>
      <c r="E153" s="4">
        <v>1</v>
      </c>
      <c r="F153" s="4">
        <v>73</v>
      </c>
      <c r="G153" s="4">
        <v>1389.99</v>
      </c>
      <c r="H153" s="4"/>
      <c r="I153" s="4"/>
      <c r="J153" s="5">
        <f t="shared" si="12"/>
        <v>138</v>
      </c>
      <c r="K153" s="4"/>
      <c r="L153" s="4"/>
      <c r="M153" s="4"/>
      <c r="N153" s="4"/>
    </row>
    <row r="154" spans="4:14">
      <c r="D154" s="4">
        <v>91</v>
      </c>
      <c r="E154" s="4">
        <v>2</v>
      </c>
      <c r="F154" s="4">
        <v>73</v>
      </c>
      <c r="G154" s="4">
        <v>730.94</v>
      </c>
      <c r="H154" s="4"/>
      <c r="I154" s="4"/>
      <c r="J154" s="5">
        <f t="shared" si="12"/>
        <v>69</v>
      </c>
      <c r="K154" s="4"/>
      <c r="L154" s="4"/>
      <c r="M154" s="4"/>
      <c r="N154" s="4"/>
    </row>
    <row r="155" spans="4:14">
      <c r="D155" s="4">
        <v>91</v>
      </c>
      <c r="E155" s="4">
        <v>3</v>
      </c>
      <c r="F155" s="4">
        <v>73</v>
      </c>
      <c r="G155" s="4">
        <v>498.46</v>
      </c>
      <c r="H155" s="4"/>
      <c r="I155" s="4"/>
      <c r="J155" s="5">
        <f t="shared" si="12"/>
        <v>46</v>
      </c>
      <c r="K155" s="4"/>
      <c r="L155" s="4"/>
      <c r="M155" s="4"/>
      <c r="N155" s="4"/>
    </row>
    <row r="156" spans="4:14">
      <c r="D156" s="4">
        <v>91</v>
      </c>
      <c r="E156" s="4">
        <v>4</v>
      </c>
      <c r="F156" s="4">
        <v>73</v>
      </c>
      <c r="G156" s="4">
        <v>398.86</v>
      </c>
      <c r="H156" s="4"/>
      <c r="I156" s="4"/>
      <c r="J156" s="5">
        <f t="shared" si="12"/>
        <v>34</v>
      </c>
      <c r="K156" s="4"/>
      <c r="L156" s="4"/>
      <c r="M156" s="4"/>
      <c r="N156" s="4"/>
    </row>
    <row r="157" spans="4:14">
      <c r="D157" s="4">
        <v>91</v>
      </c>
      <c r="E157" s="4">
        <v>5</v>
      </c>
      <c r="F157" s="4">
        <v>73</v>
      </c>
      <c r="G157" s="4">
        <v>322.26</v>
      </c>
      <c r="H157" s="4"/>
      <c r="I157" s="4"/>
      <c r="J157" s="5">
        <f t="shared" si="12"/>
        <v>28</v>
      </c>
      <c r="K157" s="4"/>
      <c r="L157" s="4"/>
      <c r="M157" s="4"/>
      <c r="N157" s="4"/>
    </row>
    <row r="158" spans="4:14">
      <c r="D158" s="4">
        <v>93</v>
      </c>
      <c r="E158" s="4">
        <v>1</v>
      </c>
      <c r="F158" s="4">
        <v>75</v>
      </c>
      <c r="G158" s="4">
        <v>1468.69</v>
      </c>
      <c r="H158" s="4"/>
      <c r="I158" s="4"/>
      <c r="J158" s="5">
        <f t="shared" si="12"/>
        <v>136</v>
      </c>
      <c r="K158" s="4"/>
      <c r="L158" s="4"/>
      <c r="M158" s="4"/>
      <c r="N158" s="4"/>
    </row>
    <row r="159" spans="4:14">
      <c r="D159" s="4">
        <v>93</v>
      </c>
      <c r="E159" s="4">
        <v>2</v>
      </c>
      <c r="F159" s="4">
        <v>75</v>
      </c>
      <c r="G159" s="4">
        <v>758.17</v>
      </c>
      <c r="H159" s="4"/>
      <c r="I159" s="4"/>
      <c r="J159" s="5">
        <f t="shared" si="12"/>
        <v>68</v>
      </c>
      <c r="K159" s="4"/>
      <c r="L159" s="4"/>
      <c r="M159" s="4"/>
      <c r="N159" s="4"/>
    </row>
    <row r="160" spans="4:14">
      <c r="D160" s="4">
        <v>93</v>
      </c>
      <c r="E160" s="4">
        <v>3</v>
      </c>
      <c r="F160" s="4">
        <v>75</v>
      </c>
      <c r="G160" s="4">
        <v>525.14</v>
      </c>
      <c r="H160" s="4"/>
      <c r="I160" s="4"/>
      <c r="J160" s="5">
        <f t="shared" si="12"/>
        <v>46</v>
      </c>
      <c r="K160" s="4"/>
      <c r="L160" s="4"/>
      <c r="M160" s="4"/>
      <c r="N160" s="4"/>
    </row>
    <row r="161" spans="4:14">
      <c r="D161" s="4">
        <v>93</v>
      </c>
      <c r="E161" s="4">
        <v>4</v>
      </c>
      <c r="F161" s="4">
        <v>75</v>
      </c>
      <c r="G161" s="4">
        <v>417.88</v>
      </c>
      <c r="H161" s="4"/>
      <c r="I161" s="4"/>
      <c r="J161" s="5">
        <f t="shared" si="12"/>
        <v>33</v>
      </c>
      <c r="K161" s="4"/>
      <c r="L161" s="4"/>
      <c r="M161" s="4"/>
      <c r="N161" s="4"/>
    </row>
    <row r="162" spans="4:14">
      <c r="D162" s="4">
        <v>93</v>
      </c>
      <c r="E162" s="4">
        <v>5</v>
      </c>
      <c r="F162" s="4">
        <v>75</v>
      </c>
      <c r="G162" s="4">
        <v>327.43</v>
      </c>
      <c r="H162" s="4"/>
      <c r="I162" s="4"/>
      <c r="J162" s="5">
        <f t="shared" si="12"/>
        <v>28</v>
      </c>
      <c r="K162" s="4"/>
      <c r="L162" s="4"/>
      <c r="M162" s="4"/>
      <c r="N162" s="4"/>
    </row>
    <row r="163" spans="4:14">
      <c r="D163" s="4">
        <v>93</v>
      </c>
      <c r="E163" s="4">
        <v>6</v>
      </c>
      <c r="F163" s="4">
        <v>75</v>
      </c>
      <c r="G163" s="4">
        <v>289.12</v>
      </c>
      <c r="H163" s="4"/>
      <c r="I163" s="4"/>
      <c r="J163" s="5">
        <f t="shared" si="12"/>
        <v>23</v>
      </c>
      <c r="K163" s="4"/>
      <c r="L163" s="4"/>
      <c r="M163" s="4"/>
      <c r="N163" s="4"/>
    </row>
    <row r="164" spans="4:14">
      <c r="D164" s="4">
        <v>93</v>
      </c>
      <c r="E164" s="4">
        <v>7</v>
      </c>
      <c r="F164" s="4">
        <v>75</v>
      </c>
      <c r="G164" s="4">
        <v>266.86</v>
      </c>
      <c r="H164" s="4"/>
      <c r="I164" s="4"/>
      <c r="J164" s="5">
        <f t="shared" si="12"/>
        <v>19</v>
      </c>
      <c r="K164" s="4"/>
      <c r="L164" s="4"/>
      <c r="M164" s="4"/>
      <c r="N164" s="4"/>
    </row>
    <row r="165" spans="4:14">
      <c r="D165" s="4">
        <v>93</v>
      </c>
      <c r="E165" s="4">
        <v>8</v>
      </c>
      <c r="F165" s="4">
        <v>75</v>
      </c>
      <c r="G165" s="4">
        <v>237.17</v>
      </c>
      <c r="H165" s="4"/>
      <c r="I165" s="4"/>
      <c r="J165" s="5">
        <f t="shared" si="12"/>
        <v>16</v>
      </c>
      <c r="K165" s="4"/>
      <c r="L165" s="4"/>
      <c r="M165" s="4"/>
      <c r="N165" s="4"/>
    </row>
    <row r="166" spans="4:14">
      <c r="D166" s="4">
        <v>93</v>
      </c>
      <c r="E166" s="4">
        <v>9</v>
      </c>
      <c r="F166" s="4">
        <v>75</v>
      </c>
      <c r="G166" s="4">
        <v>228.74</v>
      </c>
      <c r="H166" s="4"/>
      <c r="I166" s="4"/>
      <c r="J166" s="5">
        <f t="shared" si="12"/>
        <v>15</v>
      </c>
      <c r="K166" s="4"/>
      <c r="L166" s="4"/>
      <c r="M166" s="4"/>
      <c r="N166" s="4"/>
    </row>
    <row r="167" spans="4:14">
      <c r="D167" s="4">
        <v>95</v>
      </c>
      <c r="E167" s="4">
        <v>1</v>
      </c>
      <c r="F167" s="4">
        <v>77</v>
      </c>
      <c r="G167" s="4">
        <v>1554.68</v>
      </c>
      <c r="H167" s="4"/>
      <c r="I167" s="4"/>
      <c r="J167" s="5">
        <f t="shared" si="12"/>
        <v>134</v>
      </c>
      <c r="K167" s="4"/>
      <c r="L167" s="4"/>
      <c r="M167" s="4"/>
      <c r="N167" s="4"/>
    </row>
    <row r="168" spans="4:14">
      <c r="D168" s="4">
        <v>95</v>
      </c>
      <c r="E168" s="4">
        <v>2</v>
      </c>
      <c r="F168" s="4">
        <v>77</v>
      </c>
      <c r="G168" s="4">
        <v>814.18</v>
      </c>
      <c r="H168" s="4"/>
      <c r="I168" s="4"/>
      <c r="J168" s="5">
        <f t="shared" si="12"/>
        <v>67</v>
      </c>
      <c r="K168" s="4"/>
      <c r="L168" s="4"/>
      <c r="M168" s="4"/>
      <c r="N168" s="4"/>
    </row>
    <row r="169" spans="4:14">
      <c r="D169" s="4">
        <v>95</v>
      </c>
      <c r="E169" s="4">
        <v>3</v>
      </c>
      <c r="F169" s="4">
        <v>77</v>
      </c>
      <c r="G169" s="4">
        <v>571.95000000000005</v>
      </c>
      <c r="H169" s="4"/>
      <c r="I169" s="4"/>
      <c r="J169" s="5">
        <f t="shared" si="12"/>
        <v>45</v>
      </c>
      <c r="K169" s="4"/>
      <c r="L169" s="4"/>
      <c r="M169" s="4"/>
      <c r="N169" s="4"/>
    </row>
    <row r="170" spans="4:14">
      <c r="D170" s="4">
        <v>95</v>
      </c>
      <c r="E170" s="4">
        <v>4</v>
      </c>
      <c r="F170" s="4">
        <v>77</v>
      </c>
      <c r="G170" s="4">
        <v>448.6</v>
      </c>
      <c r="H170" s="4"/>
      <c r="I170" s="4"/>
      <c r="J170" s="5">
        <f t="shared" si="12"/>
        <v>33</v>
      </c>
      <c r="K170" s="4"/>
      <c r="L170" s="4"/>
      <c r="M170" s="4"/>
      <c r="N170" s="4"/>
    </row>
    <row r="171" spans="4:14">
      <c r="D171" s="4">
        <v>95</v>
      </c>
      <c r="E171" s="4">
        <v>5</v>
      </c>
      <c r="F171" s="4">
        <v>77</v>
      </c>
      <c r="G171" s="4">
        <v>353.03</v>
      </c>
      <c r="H171" s="4"/>
      <c r="I171" s="4"/>
      <c r="J171" s="5">
        <f t="shared" si="12"/>
        <v>27</v>
      </c>
      <c r="K171" s="4"/>
      <c r="L171" s="4"/>
      <c r="M171" s="4"/>
      <c r="N171" s="4"/>
    </row>
    <row r="172" spans="4:14">
      <c r="D172" s="4">
        <v>95</v>
      </c>
      <c r="E172" s="4">
        <v>6</v>
      </c>
      <c r="F172" s="4">
        <v>77</v>
      </c>
      <c r="G172" s="4">
        <v>321.05</v>
      </c>
      <c r="H172" s="4"/>
      <c r="I172" s="4"/>
      <c r="J172" s="5">
        <f t="shared" si="12"/>
        <v>23</v>
      </c>
      <c r="K172" s="4"/>
      <c r="L172" s="4"/>
      <c r="M172" s="4"/>
      <c r="N172" s="4"/>
    </row>
    <row r="173" spans="4:14">
      <c r="D173" s="4">
        <v>95</v>
      </c>
      <c r="E173" s="4">
        <v>7</v>
      </c>
      <c r="F173" s="4">
        <v>77</v>
      </c>
      <c r="G173" s="4">
        <v>296.44</v>
      </c>
      <c r="H173" s="4"/>
      <c r="I173" s="4"/>
      <c r="J173" s="5">
        <f t="shared" si="12"/>
        <v>19</v>
      </c>
      <c r="K173" s="4"/>
      <c r="L173" s="4"/>
      <c r="M173" s="4"/>
      <c r="N173" s="4"/>
    </row>
    <row r="174" spans="4:14">
      <c r="D174" s="4">
        <v>95</v>
      </c>
      <c r="E174" s="4">
        <v>8</v>
      </c>
      <c r="F174" s="4">
        <v>77</v>
      </c>
      <c r="G174" s="4">
        <v>258.69</v>
      </c>
      <c r="H174" s="4"/>
      <c r="I174" s="4"/>
      <c r="J174" s="5">
        <f t="shared" si="12"/>
        <v>16</v>
      </c>
      <c r="K174" s="4"/>
      <c r="L174" s="4"/>
      <c r="M174" s="4"/>
      <c r="N174" s="4"/>
    </row>
    <row r="175" spans="4:14">
      <c r="D175" s="4">
        <v>95</v>
      </c>
      <c r="E175" s="4">
        <v>9</v>
      </c>
      <c r="F175" s="4">
        <v>77</v>
      </c>
      <c r="G175" s="4">
        <v>248.59</v>
      </c>
      <c r="H175" s="4"/>
      <c r="I175" s="4"/>
      <c r="J175" s="5">
        <f t="shared" si="12"/>
        <v>15</v>
      </c>
      <c r="K175" s="4"/>
      <c r="L175" s="4"/>
      <c r="M175" s="4"/>
      <c r="N175" s="4"/>
    </row>
    <row r="176" spans="4:14">
      <c r="D176" s="4">
        <v>97</v>
      </c>
      <c r="E176" s="4">
        <v>1</v>
      </c>
      <c r="F176" s="4">
        <v>79</v>
      </c>
      <c r="G176" s="4">
        <v>1634.07</v>
      </c>
      <c r="H176" s="4"/>
      <c r="I176" s="4"/>
      <c r="J176" s="5">
        <f t="shared" si="12"/>
        <v>132</v>
      </c>
      <c r="K176" s="4"/>
      <c r="L176" s="4"/>
      <c r="M176" s="4"/>
      <c r="N176" s="4"/>
    </row>
    <row r="177" spans="4:14">
      <c r="D177" s="4">
        <v>97</v>
      </c>
      <c r="E177" s="4">
        <v>2</v>
      </c>
      <c r="F177" s="4">
        <v>79</v>
      </c>
      <c r="G177" s="4">
        <v>878.93</v>
      </c>
      <c r="H177" s="4"/>
      <c r="I177" s="4"/>
      <c r="J177" s="5">
        <f t="shared" si="12"/>
        <v>66</v>
      </c>
      <c r="K177" s="4"/>
      <c r="L177" s="4"/>
      <c r="M177" s="4"/>
      <c r="N177" s="4"/>
    </row>
    <row r="178" spans="4:14">
      <c r="D178" s="4">
        <v>97</v>
      </c>
      <c r="E178" s="4">
        <v>3</v>
      </c>
      <c r="F178" s="4">
        <v>79</v>
      </c>
      <c r="G178" s="4">
        <v>606.05999999999995</v>
      </c>
      <c r="H178" s="4"/>
      <c r="I178" s="4"/>
      <c r="J178" s="5">
        <f t="shared" si="12"/>
        <v>44</v>
      </c>
      <c r="K178" s="4"/>
      <c r="L178" s="4"/>
      <c r="M178" s="4"/>
      <c r="N178" s="4"/>
    </row>
    <row r="179" spans="4:14">
      <c r="D179" s="4">
        <v>97</v>
      </c>
      <c r="E179" s="4">
        <v>4</v>
      </c>
      <c r="F179" s="4">
        <v>79</v>
      </c>
      <c r="G179" s="4">
        <v>474.95</v>
      </c>
      <c r="H179" s="4"/>
      <c r="I179" s="4"/>
      <c r="J179" s="5">
        <f t="shared" si="12"/>
        <v>32</v>
      </c>
      <c r="K179" s="4"/>
      <c r="L179" s="4"/>
      <c r="M179" s="4"/>
      <c r="N179" s="4"/>
    </row>
    <row r="180" spans="4:14">
      <c r="D180" s="4">
        <v>97</v>
      </c>
      <c r="E180" s="4">
        <v>5</v>
      </c>
      <c r="F180" s="4">
        <v>79</v>
      </c>
      <c r="G180" s="4">
        <v>389.23</v>
      </c>
      <c r="H180" s="4"/>
      <c r="I180" s="4"/>
      <c r="J180" s="5">
        <f t="shared" si="12"/>
        <v>27</v>
      </c>
      <c r="K180" s="4"/>
      <c r="L180" s="4"/>
      <c r="M180" s="4"/>
      <c r="N180" s="4"/>
    </row>
    <row r="181" spans="4:14">
      <c r="D181" s="4">
        <v>97</v>
      </c>
      <c r="E181" s="4">
        <v>6</v>
      </c>
      <c r="F181" s="4">
        <v>79</v>
      </c>
      <c r="G181" s="4">
        <v>333.13</v>
      </c>
      <c r="H181" s="4"/>
      <c r="I181" s="4"/>
      <c r="J181" s="5">
        <f t="shared" si="12"/>
        <v>22</v>
      </c>
      <c r="K181" s="4"/>
      <c r="L181" s="4"/>
      <c r="M181" s="4"/>
      <c r="N181" s="4"/>
    </row>
    <row r="182" spans="4:14">
      <c r="D182" s="4">
        <v>97</v>
      </c>
      <c r="E182" s="4">
        <v>7</v>
      </c>
      <c r="F182" s="4">
        <v>79</v>
      </c>
      <c r="G182" s="4">
        <v>325.01</v>
      </c>
      <c r="H182" s="4"/>
      <c r="I182" s="4"/>
      <c r="J182" s="5">
        <f t="shared" si="12"/>
        <v>19</v>
      </c>
      <c r="K182" s="4"/>
      <c r="L182" s="4"/>
      <c r="M182" s="4"/>
      <c r="N182" s="4"/>
    </row>
    <row r="183" spans="4:14">
      <c r="D183" s="4">
        <v>97</v>
      </c>
      <c r="E183" s="4">
        <v>8</v>
      </c>
      <c r="F183" s="4">
        <v>79</v>
      </c>
      <c r="G183" s="4">
        <v>267.95</v>
      </c>
      <c r="H183" s="4"/>
      <c r="I183" s="4"/>
      <c r="J183" s="5">
        <f t="shared" si="12"/>
        <v>15</v>
      </c>
      <c r="K183" s="4"/>
      <c r="L183" s="4"/>
      <c r="M183" s="4"/>
      <c r="N183" s="4"/>
    </row>
    <row r="184" spans="4:14">
      <c r="D184" s="4">
        <v>97</v>
      </c>
      <c r="E184" s="4">
        <v>9</v>
      </c>
      <c r="F184" s="4">
        <v>79</v>
      </c>
      <c r="G184" s="4">
        <v>255.91</v>
      </c>
      <c r="H184" s="4"/>
      <c r="I184" s="4"/>
      <c r="J184" s="5">
        <f t="shared" si="12"/>
        <v>14</v>
      </c>
      <c r="K184" s="4"/>
      <c r="L184" s="4"/>
      <c r="M184" s="4"/>
      <c r="N184" s="4"/>
    </row>
    <row r="185" spans="4:14">
      <c r="D185" s="4">
        <v>99</v>
      </c>
      <c r="E185" s="4">
        <v>1</v>
      </c>
      <c r="F185" s="4">
        <v>81</v>
      </c>
      <c r="G185" s="4">
        <v>1807.1</v>
      </c>
      <c r="H185" s="4">
        <f>POWER(2,0.053*F185+6.52)</f>
        <v>1799.0255989521622</v>
      </c>
      <c r="I185" s="4"/>
      <c r="J185" s="5">
        <f t="shared" si="12"/>
        <v>130</v>
      </c>
      <c r="K185" s="4"/>
      <c r="L185" s="4"/>
      <c r="M185" s="4"/>
      <c r="N185" s="4"/>
    </row>
    <row r="186" spans="4:14">
      <c r="D186" s="4">
        <v>99</v>
      </c>
      <c r="E186" s="4">
        <v>2</v>
      </c>
      <c r="F186" s="4">
        <v>81</v>
      </c>
      <c r="G186" s="4">
        <v>942.15</v>
      </c>
      <c r="H186" s="4"/>
      <c r="I186" s="4"/>
      <c r="J186" s="5">
        <f t="shared" si="12"/>
        <v>65</v>
      </c>
      <c r="K186" s="4">
        <f t="shared" ref="K186:K193" si="13">$H$185/$J$185*J186</f>
        <v>899.51279947608111</v>
      </c>
      <c r="L186" s="4"/>
      <c r="M186" s="4"/>
      <c r="N186" s="4"/>
    </row>
    <row r="187" spans="4:14">
      <c r="D187" s="4">
        <v>99</v>
      </c>
      <c r="E187" s="4">
        <v>3</v>
      </c>
      <c r="F187" s="4">
        <v>81</v>
      </c>
      <c r="G187" s="4">
        <v>645.15</v>
      </c>
      <c r="H187" s="4"/>
      <c r="I187" s="4"/>
      <c r="J187" s="5">
        <f t="shared" si="12"/>
        <v>44</v>
      </c>
      <c r="K187" s="4">
        <f t="shared" si="13"/>
        <v>608.90097195303952</v>
      </c>
      <c r="L187" s="4"/>
      <c r="M187" s="4"/>
      <c r="N187" s="4"/>
    </row>
    <row r="188" spans="4:14">
      <c r="D188" s="4">
        <v>99</v>
      </c>
      <c r="E188" s="4">
        <v>4</v>
      </c>
      <c r="F188" s="4">
        <v>81</v>
      </c>
      <c r="G188" s="4">
        <v>524.01</v>
      </c>
      <c r="H188" s="4"/>
      <c r="I188" s="4"/>
      <c r="J188" s="5">
        <f t="shared" si="12"/>
        <v>32</v>
      </c>
      <c r="K188" s="4">
        <f t="shared" si="13"/>
        <v>442.83707051130148</v>
      </c>
      <c r="L188" s="4"/>
      <c r="M188" s="4"/>
      <c r="N188" s="4"/>
    </row>
    <row r="189" spans="4:14">
      <c r="D189" s="4">
        <v>99</v>
      </c>
      <c r="E189" s="4">
        <v>5</v>
      </c>
      <c r="F189" s="4">
        <v>81</v>
      </c>
      <c r="G189" s="4">
        <v>414.5</v>
      </c>
      <c r="H189" s="4"/>
      <c r="I189" s="4"/>
      <c r="J189" s="5">
        <f t="shared" si="12"/>
        <v>26</v>
      </c>
      <c r="K189" s="4">
        <f t="shared" si="13"/>
        <v>359.80511979043246</v>
      </c>
      <c r="L189" s="4"/>
      <c r="M189" s="4"/>
      <c r="N189" s="4"/>
    </row>
    <row r="190" spans="4:14">
      <c r="D190" s="4">
        <v>99</v>
      </c>
      <c r="E190" s="4">
        <v>6</v>
      </c>
      <c r="F190" s="4">
        <v>81</v>
      </c>
      <c r="G190" s="4">
        <v>374.53</v>
      </c>
      <c r="H190" s="4"/>
      <c r="I190" s="4"/>
      <c r="J190" s="5">
        <f t="shared" si="12"/>
        <v>22</v>
      </c>
      <c r="K190" s="4">
        <f t="shared" si="13"/>
        <v>304.45048597651976</v>
      </c>
      <c r="L190" s="4"/>
      <c r="M190" s="4"/>
      <c r="N190" s="4"/>
    </row>
    <row r="191" spans="4:14">
      <c r="D191" s="4">
        <v>99</v>
      </c>
      <c r="E191" s="4">
        <v>7</v>
      </c>
      <c r="F191" s="4">
        <v>81</v>
      </c>
      <c r="G191" s="4">
        <v>339.58</v>
      </c>
      <c r="H191" s="4"/>
      <c r="I191" s="4"/>
      <c r="J191" s="5">
        <f t="shared" si="12"/>
        <v>18</v>
      </c>
      <c r="K191" s="4">
        <f t="shared" si="13"/>
        <v>249.09585216260709</v>
      </c>
      <c r="L191" s="4"/>
      <c r="M191" s="4"/>
      <c r="N191" s="4"/>
    </row>
    <row r="192" spans="4:14">
      <c r="D192" s="4">
        <v>99</v>
      </c>
      <c r="E192" s="4">
        <v>8</v>
      </c>
      <c r="F192" s="4">
        <v>81</v>
      </c>
      <c r="G192" s="4">
        <v>298.07</v>
      </c>
      <c r="H192" s="4"/>
      <c r="I192" s="4"/>
      <c r="J192" s="5">
        <f t="shared" si="12"/>
        <v>15</v>
      </c>
      <c r="K192" s="4">
        <f t="shared" si="13"/>
        <v>207.57987680217258</v>
      </c>
      <c r="L192" s="4"/>
      <c r="M192" s="4"/>
      <c r="N192" s="4"/>
    </row>
    <row r="193" spans="4:14">
      <c r="D193" s="4">
        <v>99</v>
      </c>
      <c r="E193" s="4">
        <v>9</v>
      </c>
      <c r="F193" s="4">
        <v>81</v>
      </c>
      <c r="G193" s="4">
        <v>283.29000000000002</v>
      </c>
      <c r="H193" s="4"/>
      <c r="I193" s="4"/>
      <c r="J193" s="5">
        <f t="shared" si="12"/>
        <v>14</v>
      </c>
      <c r="K193" s="4">
        <f t="shared" si="13"/>
        <v>193.74121834869439</v>
      </c>
      <c r="L193" s="4"/>
      <c r="M193" s="4"/>
      <c r="N193" s="4"/>
    </row>
    <row r="194" spans="4:14">
      <c r="D194" s="4">
        <v>101</v>
      </c>
      <c r="E194" s="4">
        <v>1</v>
      </c>
      <c r="F194" s="4">
        <v>82</v>
      </c>
      <c r="G194" s="4">
        <v>1914.8</v>
      </c>
      <c r="H194" s="4"/>
      <c r="I194" s="4"/>
      <c r="J194" s="5">
        <f t="shared" si="12"/>
        <v>130</v>
      </c>
      <c r="K194" s="4"/>
      <c r="L194" s="4"/>
      <c r="M194" s="4"/>
      <c r="N194" s="4"/>
    </row>
    <row r="195" spans="4:14">
      <c r="D195" s="4">
        <v>101</v>
      </c>
      <c r="E195" s="4">
        <v>2</v>
      </c>
      <c r="F195" s="4">
        <v>82</v>
      </c>
      <c r="G195" s="4">
        <v>1028.76</v>
      </c>
      <c r="H195" s="4"/>
      <c r="I195" s="4"/>
      <c r="J195" s="5">
        <f t="shared" si="12"/>
        <v>64</v>
      </c>
      <c r="K195" s="4"/>
      <c r="L195" s="4"/>
      <c r="M195" s="4"/>
      <c r="N195" s="4"/>
    </row>
    <row r="196" spans="4:14">
      <c r="D196" s="4">
        <v>101</v>
      </c>
      <c r="E196" s="4">
        <v>3</v>
      </c>
      <c r="F196" s="4">
        <v>82</v>
      </c>
      <c r="G196" s="4">
        <v>722.87</v>
      </c>
      <c r="H196" s="4"/>
      <c r="I196" s="4"/>
      <c r="J196" s="5">
        <f t="shared" si="12"/>
        <v>43</v>
      </c>
      <c r="K196" s="4"/>
      <c r="L196" s="4"/>
      <c r="M196" s="4"/>
      <c r="N196" s="4"/>
    </row>
    <row r="197" spans="4:14">
      <c r="D197" s="4">
        <v>101</v>
      </c>
      <c r="E197" s="4">
        <v>4</v>
      </c>
      <c r="F197" s="4">
        <v>82</v>
      </c>
      <c r="G197" s="4">
        <v>548.38</v>
      </c>
      <c r="H197" s="4"/>
      <c r="I197" s="4"/>
      <c r="J197" s="5">
        <f t="shared" si="12"/>
        <v>31</v>
      </c>
      <c r="K197" s="4"/>
      <c r="L197" s="4"/>
      <c r="M197" s="4"/>
      <c r="N197" s="4"/>
    </row>
    <row r="198" spans="4:14">
      <c r="D198" s="4">
        <v>101</v>
      </c>
      <c r="E198" s="4">
        <v>5</v>
      </c>
      <c r="F198" s="4">
        <v>82</v>
      </c>
      <c r="G198" s="4">
        <v>469.42</v>
      </c>
      <c r="H198" s="4"/>
      <c r="I198" s="4"/>
      <c r="J198" s="5">
        <f t="shared" si="12"/>
        <v>26</v>
      </c>
      <c r="K198" s="4"/>
      <c r="L198" s="4"/>
      <c r="M198" s="4"/>
      <c r="N198" s="4"/>
    </row>
    <row r="199" spans="4:14">
      <c r="D199" s="4">
        <v>101</v>
      </c>
      <c r="E199" s="4">
        <v>6</v>
      </c>
      <c r="F199" s="4">
        <v>82</v>
      </c>
      <c r="G199" s="4">
        <v>419.97</v>
      </c>
      <c r="H199" s="4"/>
      <c r="I199" s="4"/>
      <c r="J199" s="5">
        <f t="shared" si="12"/>
        <v>22</v>
      </c>
      <c r="K199" s="4"/>
      <c r="L199" s="4"/>
      <c r="M199" s="4"/>
      <c r="N199" s="4"/>
    </row>
    <row r="200" spans="4:14">
      <c r="D200" s="4">
        <v>101</v>
      </c>
      <c r="E200" s="4">
        <v>7</v>
      </c>
      <c r="F200" s="4">
        <v>82</v>
      </c>
      <c r="G200" s="4">
        <v>362.69</v>
      </c>
      <c r="H200" s="4"/>
      <c r="I200" s="4"/>
      <c r="J200" s="5">
        <f t="shared" si="12"/>
        <v>18</v>
      </c>
      <c r="K200" s="4"/>
      <c r="L200" s="4"/>
      <c r="M200" s="4"/>
      <c r="N200" s="4"/>
    </row>
    <row r="201" spans="4:14">
      <c r="D201" s="4">
        <v>101</v>
      </c>
      <c r="E201" s="4">
        <v>8</v>
      </c>
      <c r="F201" s="4">
        <v>82</v>
      </c>
      <c r="G201" s="4">
        <v>317.68</v>
      </c>
      <c r="H201" s="4"/>
      <c r="I201" s="4"/>
      <c r="J201" s="5">
        <f t="shared" ref="J201:J245" si="14">2*(ROUNDDOWN((D201-F201+12)/E201,0)) + (ROUNDDOWN((180-D201-12)/E201,0)) + 1</f>
        <v>15</v>
      </c>
      <c r="K201" s="4"/>
      <c r="L201" s="4"/>
      <c r="M201" s="4"/>
      <c r="N201" s="4"/>
    </row>
    <row r="202" spans="4:14">
      <c r="D202" s="4">
        <v>101</v>
      </c>
      <c r="E202" s="4">
        <v>9</v>
      </c>
      <c r="F202" s="4">
        <v>82</v>
      </c>
      <c r="G202" s="4">
        <v>301.44</v>
      </c>
      <c r="H202" s="4"/>
      <c r="I202" s="4"/>
      <c r="J202" s="5">
        <f t="shared" si="14"/>
        <v>14</v>
      </c>
      <c r="K202" s="4"/>
      <c r="L202" s="4"/>
      <c r="M202" s="4"/>
      <c r="N202" s="4"/>
    </row>
    <row r="203" spans="4:14">
      <c r="D203" s="4">
        <v>103</v>
      </c>
      <c r="E203" s="4">
        <v>1</v>
      </c>
      <c r="F203" s="4">
        <v>84</v>
      </c>
      <c r="G203" s="4">
        <v>2158.23</v>
      </c>
      <c r="H203" s="4"/>
      <c r="I203" s="4"/>
      <c r="J203" s="5">
        <f t="shared" si="14"/>
        <v>128</v>
      </c>
      <c r="K203" s="4"/>
      <c r="L203" s="4"/>
      <c r="M203" s="4"/>
      <c r="N203" s="4"/>
    </row>
    <row r="204" spans="4:14">
      <c r="D204" s="4">
        <v>103</v>
      </c>
      <c r="E204" s="4">
        <v>2</v>
      </c>
      <c r="F204" s="4">
        <v>84</v>
      </c>
      <c r="G204" s="4">
        <v>1125.46</v>
      </c>
      <c r="H204" s="4"/>
      <c r="I204" s="4"/>
      <c r="J204" s="5">
        <f t="shared" si="14"/>
        <v>63</v>
      </c>
      <c r="K204" s="4"/>
      <c r="L204" s="4"/>
      <c r="M204" s="4"/>
      <c r="N204" s="4"/>
    </row>
    <row r="205" spans="4:14">
      <c r="D205" s="4">
        <v>103</v>
      </c>
      <c r="E205" s="4">
        <v>3</v>
      </c>
      <c r="F205" s="4">
        <v>84</v>
      </c>
      <c r="G205" s="4">
        <v>791.87</v>
      </c>
      <c r="H205" s="4"/>
      <c r="I205" s="4"/>
      <c r="J205" s="5">
        <f t="shared" si="14"/>
        <v>42</v>
      </c>
      <c r="K205" s="4"/>
      <c r="L205" s="4"/>
      <c r="M205" s="4"/>
      <c r="N205" s="4"/>
    </row>
    <row r="206" spans="4:14">
      <c r="D206" s="4">
        <v>103</v>
      </c>
      <c r="E206" s="4">
        <v>4</v>
      </c>
      <c r="F206" s="4">
        <v>84</v>
      </c>
      <c r="G206" s="4">
        <v>613.97</v>
      </c>
      <c r="H206" s="4"/>
      <c r="I206" s="4"/>
      <c r="J206" s="5">
        <f t="shared" si="14"/>
        <v>31</v>
      </c>
      <c r="K206" s="4"/>
      <c r="L206" s="4"/>
      <c r="M206" s="4"/>
      <c r="N206" s="4"/>
    </row>
    <row r="207" spans="4:14">
      <c r="D207" s="4">
        <v>103</v>
      </c>
      <c r="E207" s="4">
        <v>5</v>
      </c>
      <c r="F207" s="4">
        <v>84</v>
      </c>
      <c r="G207" s="4">
        <v>515.19000000000005</v>
      </c>
      <c r="H207" s="4"/>
      <c r="I207" s="4"/>
      <c r="J207" s="5">
        <f t="shared" si="14"/>
        <v>26</v>
      </c>
      <c r="K207" s="4"/>
      <c r="L207" s="4"/>
      <c r="M207" s="4"/>
      <c r="N207" s="4"/>
    </row>
    <row r="208" spans="4:14">
      <c r="D208" s="4">
        <v>103</v>
      </c>
      <c r="E208" s="4">
        <v>6</v>
      </c>
      <c r="F208" s="4">
        <v>84</v>
      </c>
      <c r="G208" s="4">
        <v>456.47</v>
      </c>
      <c r="H208" s="4"/>
      <c r="I208" s="4"/>
      <c r="J208" s="5">
        <f t="shared" si="14"/>
        <v>21</v>
      </c>
      <c r="K208" s="4"/>
      <c r="L208" s="4"/>
      <c r="M208" s="4"/>
      <c r="N208" s="4"/>
    </row>
    <row r="209" spans="4:14">
      <c r="D209" s="4">
        <v>103</v>
      </c>
      <c r="E209" s="4">
        <v>7</v>
      </c>
      <c r="F209" s="4">
        <v>84</v>
      </c>
      <c r="G209" s="4">
        <v>409.92</v>
      </c>
      <c r="H209" s="4"/>
      <c r="I209" s="4"/>
      <c r="J209" s="5">
        <f t="shared" si="14"/>
        <v>18</v>
      </c>
      <c r="K209" s="4"/>
      <c r="L209" s="4"/>
      <c r="M209" s="4"/>
      <c r="N209" s="4"/>
    </row>
    <row r="210" spans="4:14">
      <c r="D210" s="4">
        <v>103</v>
      </c>
      <c r="E210" s="4">
        <v>8</v>
      </c>
      <c r="F210" s="4">
        <v>84</v>
      </c>
      <c r="G210" s="4">
        <v>362.04</v>
      </c>
      <c r="H210" s="4"/>
      <c r="I210" s="4"/>
      <c r="J210" s="5">
        <f t="shared" si="14"/>
        <v>15</v>
      </c>
      <c r="K210" s="4"/>
      <c r="L210" s="4"/>
      <c r="M210" s="4"/>
      <c r="N210" s="4"/>
    </row>
    <row r="211" spans="4:14">
      <c r="D211" s="4">
        <v>103</v>
      </c>
      <c r="E211" s="4">
        <v>9</v>
      </c>
      <c r="F211" s="4">
        <v>84</v>
      </c>
      <c r="G211" s="4">
        <v>341.74</v>
      </c>
      <c r="H211" s="4"/>
      <c r="I211" s="4"/>
      <c r="J211" s="5">
        <f t="shared" si="14"/>
        <v>14</v>
      </c>
      <c r="K211" s="4"/>
      <c r="L211" s="4"/>
      <c r="M211" s="4"/>
      <c r="N211" s="4"/>
    </row>
    <row r="212" spans="4:14">
      <c r="D212" s="4">
        <v>105</v>
      </c>
      <c r="E212" s="4">
        <v>1</v>
      </c>
      <c r="F212" s="4">
        <v>86</v>
      </c>
      <c r="G212" s="4">
        <v>2464.25</v>
      </c>
      <c r="H212" s="4"/>
      <c r="I212" s="4"/>
      <c r="J212" s="5">
        <f t="shared" si="14"/>
        <v>126</v>
      </c>
      <c r="K212" s="4"/>
      <c r="L212" s="4"/>
      <c r="M212" s="4"/>
      <c r="N212" s="4"/>
    </row>
    <row r="213" spans="4:14">
      <c r="D213" s="4">
        <v>105</v>
      </c>
      <c r="E213" s="4">
        <v>2</v>
      </c>
      <c r="F213" s="4">
        <v>86</v>
      </c>
      <c r="G213" s="4">
        <v>1305.3499999999999</v>
      </c>
      <c r="H213" s="4"/>
      <c r="I213" s="4"/>
      <c r="J213" s="5">
        <f t="shared" si="14"/>
        <v>62</v>
      </c>
      <c r="K213" s="4"/>
      <c r="L213" s="4"/>
      <c r="M213" s="4"/>
      <c r="N213" s="4"/>
    </row>
    <row r="214" spans="4:14">
      <c r="D214" s="4">
        <v>105</v>
      </c>
      <c r="E214" s="4">
        <v>3</v>
      </c>
      <c r="F214" s="4">
        <v>86</v>
      </c>
      <c r="G214" s="4">
        <v>903.28</v>
      </c>
      <c r="H214" s="4"/>
      <c r="I214" s="4"/>
      <c r="J214" s="5">
        <f t="shared" si="14"/>
        <v>42</v>
      </c>
      <c r="K214" s="4"/>
      <c r="L214" s="4"/>
      <c r="M214" s="4"/>
      <c r="N214" s="4"/>
    </row>
    <row r="215" spans="4:14">
      <c r="D215" s="4">
        <v>105</v>
      </c>
      <c r="E215" s="4">
        <v>4</v>
      </c>
      <c r="F215" s="4">
        <v>86</v>
      </c>
      <c r="G215" s="4">
        <v>702.42</v>
      </c>
      <c r="H215" s="4"/>
      <c r="I215" s="4"/>
      <c r="J215" s="5">
        <f t="shared" si="14"/>
        <v>30</v>
      </c>
      <c r="K215" s="4"/>
      <c r="L215" s="4"/>
      <c r="M215" s="4"/>
      <c r="N215" s="4"/>
    </row>
    <row r="216" spans="4:14">
      <c r="D216" s="4">
        <v>105</v>
      </c>
      <c r="E216" s="4">
        <v>5</v>
      </c>
      <c r="F216" s="4">
        <v>86</v>
      </c>
      <c r="G216" s="4">
        <v>589.20000000000005</v>
      </c>
      <c r="H216" s="4"/>
      <c r="I216" s="4"/>
      <c r="J216" s="5">
        <f t="shared" si="14"/>
        <v>25</v>
      </c>
      <c r="K216" s="4"/>
      <c r="L216" s="4"/>
      <c r="M216" s="4"/>
      <c r="N216" s="4"/>
    </row>
    <row r="217" spans="4:14">
      <c r="D217" s="4">
        <v>105</v>
      </c>
      <c r="E217" s="4">
        <v>6</v>
      </c>
      <c r="F217" s="4">
        <v>86</v>
      </c>
      <c r="G217" s="4">
        <v>545.66</v>
      </c>
      <c r="H217" s="4"/>
      <c r="I217" s="4"/>
      <c r="J217" s="5">
        <f t="shared" si="14"/>
        <v>21</v>
      </c>
      <c r="K217" s="4"/>
      <c r="L217" s="4"/>
      <c r="M217" s="4"/>
      <c r="N217" s="4"/>
    </row>
    <row r="218" spans="4:14">
      <c r="D218" s="4">
        <v>105</v>
      </c>
      <c r="E218" s="4">
        <v>8</v>
      </c>
      <c r="F218" s="4">
        <v>86</v>
      </c>
      <c r="G218" s="4">
        <v>405.99</v>
      </c>
      <c r="H218" s="4"/>
      <c r="I218" s="4"/>
      <c r="J218" s="5">
        <f t="shared" si="14"/>
        <v>14</v>
      </c>
      <c r="K218" s="4"/>
      <c r="L218" s="4"/>
      <c r="M218" s="4"/>
      <c r="N218" s="4"/>
    </row>
    <row r="219" spans="4:14">
      <c r="D219" s="4">
        <v>105</v>
      </c>
      <c r="E219" s="4">
        <v>9</v>
      </c>
      <c r="F219" s="4">
        <v>86</v>
      </c>
      <c r="G219" s="4">
        <v>385.26</v>
      </c>
      <c r="H219" s="4"/>
      <c r="I219" s="4"/>
      <c r="J219" s="5">
        <f t="shared" si="14"/>
        <v>14</v>
      </c>
      <c r="K219" s="4"/>
      <c r="L219" s="4"/>
      <c r="M219" s="4"/>
      <c r="N219" s="4"/>
    </row>
    <row r="220" spans="4:14">
      <c r="D220" s="4">
        <v>107</v>
      </c>
      <c r="E220" s="4">
        <v>1</v>
      </c>
      <c r="F220" s="4">
        <v>88</v>
      </c>
      <c r="G220" s="4">
        <v>2877.41</v>
      </c>
      <c r="H220" s="4"/>
      <c r="I220" s="4"/>
      <c r="J220" s="5">
        <f t="shared" si="14"/>
        <v>124</v>
      </c>
      <c r="K220" s="4"/>
      <c r="L220" s="4"/>
      <c r="M220" s="4"/>
      <c r="N220" s="4"/>
    </row>
    <row r="221" spans="4:14">
      <c r="D221" s="4">
        <v>107</v>
      </c>
      <c r="E221" s="4">
        <v>2</v>
      </c>
      <c r="F221" s="4">
        <v>88</v>
      </c>
      <c r="G221" s="4">
        <v>1529.64</v>
      </c>
      <c r="H221" s="4"/>
      <c r="I221" s="4"/>
      <c r="J221" s="5">
        <f t="shared" si="14"/>
        <v>61</v>
      </c>
      <c r="K221" s="4"/>
      <c r="L221" s="4"/>
      <c r="M221" s="4"/>
      <c r="N221" s="4"/>
    </row>
    <row r="222" spans="4:14">
      <c r="D222" s="4">
        <v>107</v>
      </c>
      <c r="E222" s="4">
        <v>3</v>
      </c>
      <c r="F222" s="4">
        <v>88</v>
      </c>
      <c r="G222" s="4">
        <v>1080.0999999999999</v>
      </c>
      <c r="H222" s="4"/>
      <c r="I222" s="4"/>
      <c r="J222" s="5">
        <f t="shared" si="14"/>
        <v>41</v>
      </c>
      <c r="K222" s="4"/>
      <c r="L222" s="4"/>
      <c r="M222" s="4"/>
      <c r="N222" s="4"/>
    </row>
    <row r="223" spans="4:14">
      <c r="D223" s="4">
        <v>107</v>
      </c>
      <c r="E223" s="4">
        <v>4</v>
      </c>
      <c r="F223" s="4">
        <v>88</v>
      </c>
      <c r="G223" s="4">
        <v>840.88</v>
      </c>
      <c r="H223" s="4"/>
      <c r="I223" s="4"/>
      <c r="J223" s="5">
        <f t="shared" si="14"/>
        <v>30</v>
      </c>
      <c r="K223" s="4"/>
      <c r="L223" s="4"/>
      <c r="M223" s="4"/>
      <c r="N223" s="4"/>
    </row>
    <row r="224" spans="4:14">
      <c r="D224" s="4">
        <v>107</v>
      </c>
      <c r="E224" s="4">
        <v>5</v>
      </c>
      <c r="F224" s="4">
        <v>88</v>
      </c>
      <c r="G224" s="4">
        <v>740.96</v>
      </c>
      <c r="H224" s="4"/>
      <c r="I224" s="4"/>
      <c r="J224" s="5">
        <f t="shared" si="14"/>
        <v>25</v>
      </c>
      <c r="K224" s="4"/>
      <c r="L224" s="4"/>
      <c r="M224" s="4"/>
      <c r="N224" s="4"/>
    </row>
    <row r="225" spans="4:14">
      <c r="D225" s="4">
        <v>107</v>
      </c>
      <c r="E225" s="4">
        <v>6</v>
      </c>
      <c r="F225" s="4">
        <v>88</v>
      </c>
      <c r="G225" s="4">
        <v>634.38</v>
      </c>
      <c r="H225" s="4"/>
      <c r="I225" s="4"/>
      <c r="J225" s="5">
        <f t="shared" si="14"/>
        <v>21</v>
      </c>
      <c r="K225" s="4"/>
      <c r="L225" s="4"/>
      <c r="M225" s="4"/>
      <c r="N225" s="4"/>
    </row>
    <row r="226" spans="4:14">
      <c r="D226" s="4">
        <v>109</v>
      </c>
      <c r="E226" s="4">
        <v>1</v>
      </c>
      <c r="F226" s="4">
        <v>90</v>
      </c>
      <c r="G226" s="4">
        <v>3521.55</v>
      </c>
      <c r="H226" s="4"/>
      <c r="I226" s="4"/>
      <c r="J226" s="5">
        <f t="shared" si="14"/>
        <v>122</v>
      </c>
      <c r="K226" s="4"/>
      <c r="L226" s="4"/>
      <c r="M226" s="4"/>
      <c r="N226" s="4"/>
    </row>
    <row r="227" spans="4:14">
      <c r="D227" s="4">
        <v>109</v>
      </c>
      <c r="E227" s="4">
        <v>2</v>
      </c>
      <c r="F227" s="4">
        <v>90</v>
      </c>
      <c r="G227" s="4">
        <v>1861.95</v>
      </c>
      <c r="H227" s="4"/>
      <c r="I227" s="4"/>
      <c r="J227" s="5">
        <f t="shared" si="14"/>
        <v>60</v>
      </c>
      <c r="K227" s="4"/>
      <c r="L227" s="4"/>
      <c r="M227" s="4"/>
      <c r="N227" s="4"/>
    </row>
    <row r="228" spans="4:14">
      <c r="D228" s="4">
        <v>109</v>
      </c>
      <c r="E228" s="4">
        <v>3</v>
      </c>
      <c r="F228" s="4">
        <v>90</v>
      </c>
      <c r="G228" s="4">
        <v>1315.44</v>
      </c>
      <c r="H228" s="4"/>
      <c r="I228" s="4"/>
      <c r="J228" s="5">
        <f t="shared" si="14"/>
        <v>40</v>
      </c>
      <c r="K228" s="4"/>
      <c r="L228" s="4"/>
      <c r="M228" s="4"/>
      <c r="N228" s="4"/>
    </row>
    <row r="229" spans="4:14">
      <c r="D229" s="4">
        <v>109</v>
      </c>
      <c r="E229" s="4">
        <v>4</v>
      </c>
      <c r="F229" s="4">
        <v>90</v>
      </c>
      <c r="G229" s="4">
        <v>1018.26</v>
      </c>
      <c r="H229" s="4"/>
      <c r="I229" s="4"/>
      <c r="J229" s="5">
        <f t="shared" si="14"/>
        <v>29</v>
      </c>
      <c r="K229" s="4"/>
      <c r="L229" s="4"/>
      <c r="M229" s="4"/>
      <c r="N229" s="4"/>
    </row>
    <row r="230" spans="4:14">
      <c r="D230" s="4">
        <v>109</v>
      </c>
      <c r="E230" s="4">
        <v>5</v>
      </c>
      <c r="F230" s="4">
        <v>90</v>
      </c>
      <c r="G230" s="4">
        <v>857.54</v>
      </c>
      <c r="H230" s="4"/>
      <c r="I230" s="4"/>
      <c r="J230" s="5">
        <f t="shared" si="14"/>
        <v>24</v>
      </c>
      <c r="K230" s="4"/>
      <c r="L230" s="4"/>
      <c r="M230" s="4"/>
      <c r="N230" s="4"/>
    </row>
    <row r="231" spans="4:14">
      <c r="D231" s="4">
        <v>111</v>
      </c>
      <c r="E231" s="4">
        <v>1</v>
      </c>
      <c r="F231" s="4">
        <v>92</v>
      </c>
      <c r="G231" s="4">
        <v>4338.66</v>
      </c>
      <c r="H231" s="4">
        <f>POWER(2,0.137 * F231-0.54)</f>
        <v>4281.7949704403572</v>
      </c>
      <c r="I231" s="4"/>
      <c r="J231" s="5">
        <f t="shared" si="14"/>
        <v>120</v>
      </c>
      <c r="K231" s="4"/>
      <c r="L231" s="4"/>
      <c r="M231" s="4"/>
      <c r="N231" s="4"/>
    </row>
    <row r="232" spans="4:14">
      <c r="D232" s="4">
        <v>111</v>
      </c>
      <c r="E232" s="4">
        <v>2</v>
      </c>
      <c r="F232" s="4">
        <v>92</v>
      </c>
      <c r="G232" s="4">
        <v>2304.19</v>
      </c>
      <c r="H232" s="4"/>
      <c r="I232" s="5">
        <f>$H$231/E232</f>
        <v>2140.8974852201786</v>
      </c>
      <c r="J232" s="5">
        <f t="shared" si="14"/>
        <v>59</v>
      </c>
      <c r="K232" s="5">
        <f>$H$231/$J$231*J232</f>
        <v>2105.2158604665092</v>
      </c>
      <c r="L232" s="4"/>
      <c r="M232" s="4"/>
      <c r="N232" s="4"/>
    </row>
    <row r="233" spans="4:14">
      <c r="D233" s="4">
        <v>111</v>
      </c>
      <c r="E233" s="4">
        <v>3</v>
      </c>
      <c r="F233" s="4">
        <v>92</v>
      </c>
      <c r="G233" s="4">
        <v>1609.93</v>
      </c>
      <c r="H233" s="4"/>
      <c r="I233" s="5">
        <f t="shared" ref="I233:I237" si="15">$H$231/E233</f>
        <v>1427.2649901467857</v>
      </c>
      <c r="J233" s="5">
        <f t="shared" si="14"/>
        <v>40</v>
      </c>
      <c r="K233" s="5">
        <f t="shared" ref="K233:K237" si="16">$H$231/$J$231*J233</f>
        <v>1427.2649901467857</v>
      </c>
      <c r="L233" s="4"/>
      <c r="M233" s="4"/>
      <c r="N233" s="4"/>
    </row>
    <row r="234" spans="4:14">
      <c r="D234" s="4">
        <v>111</v>
      </c>
      <c r="E234" s="4">
        <v>6</v>
      </c>
      <c r="F234" s="4">
        <v>92</v>
      </c>
      <c r="G234" s="4">
        <v>911.13</v>
      </c>
      <c r="H234" s="4"/>
      <c r="I234" s="5">
        <f t="shared" si="15"/>
        <v>713.63249507339287</v>
      </c>
      <c r="J234" s="5">
        <f t="shared" si="14"/>
        <v>20</v>
      </c>
      <c r="K234" s="5">
        <f t="shared" si="16"/>
        <v>713.63249507339287</v>
      </c>
      <c r="L234" s="4"/>
      <c r="M234" s="4"/>
      <c r="N234" s="4"/>
    </row>
    <row r="235" spans="4:14">
      <c r="D235" s="4">
        <v>111</v>
      </c>
      <c r="E235" s="4">
        <v>7</v>
      </c>
      <c r="F235" s="4">
        <v>92</v>
      </c>
      <c r="G235" s="4">
        <v>819.06</v>
      </c>
      <c r="H235" s="4"/>
      <c r="I235" s="5">
        <f t="shared" si="15"/>
        <v>611.68499577719388</v>
      </c>
      <c r="J235" s="5">
        <f t="shared" si="14"/>
        <v>17</v>
      </c>
      <c r="K235" s="5">
        <f t="shared" si="16"/>
        <v>606.58762081238399</v>
      </c>
      <c r="L235" s="4"/>
      <c r="M235" s="4"/>
      <c r="N235" s="4"/>
    </row>
    <row r="236" spans="4:14">
      <c r="D236" s="4">
        <v>111</v>
      </c>
      <c r="E236" s="4">
        <v>8</v>
      </c>
      <c r="F236" s="4">
        <v>92</v>
      </c>
      <c r="G236" s="4">
        <v>714.21</v>
      </c>
      <c r="H236" s="4"/>
      <c r="I236" s="5">
        <f t="shared" si="15"/>
        <v>535.22437130504466</v>
      </c>
      <c r="J236" s="5">
        <f t="shared" si="14"/>
        <v>14</v>
      </c>
      <c r="K236" s="5">
        <f t="shared" si="16"/>
        <v>499.54274655137505</v>
      </c>
      <c r="L236" s="4"/>
      <c r="M236" s="4"/>
      <c r="N236" s="4"/>
    </row>
    <row r="237" spans="4:14">
      <c r="D237" s="4">
        <v>111</v>
      </c>
      <c r="E237" s="4">
        <v>9</v>
      </c>
      <c r="F237" s="4">
        <v>92</v>
      </c>
      <c r="G237" s="4">
        <v>684.63</v>
      </c>
      <c r="H237" s="4"/>
      <c r="I237" s="5">
        <f t="shared" si="15"/>
        <v>475.75499671559527</v>
      </c>
      <c r="J237" s="5">
        <f t="shared" si="14"/>
        <v>13</v>
      </c>
      <c r="K237" s="5">
        <f t="shared" si="16"/>
        <v>463.86112179770538</v>
      </c>
      <c r="L237" s="4"/>
      <c r="M237" s="4"/>
      <c r="N237" s="4"/>
    </row>
    <row r="238" spans="4:14">
      <c r="D238" s="4">
        <v>113</v>
      </c>
      <c r="E238" s="4">
        <v>6</v>
      </c>
      <c r="F238" s="4">
        <v>94</v>
      </c>
      <c r="G238" s="4">
        <v>1142.04</v>
      </c>
      <c r="H238" s="4"/>
      <c r="I238" s="5"/>
      <c r="J238" s="5">
        <f t="shared" si="14"/>
        <v>20</v>
      </c>
      <c r="K238" s="5"/>
      <c r="L238" s="4"/>
      <c r="M238" s="4"/>
      <c r="N238" s="4"/>
    </row>
    <row r="239" spans="4:14">
      <c r="D239" s="4">
        <v>113</v>
      </c>
      <c r="E239" s="4">
        <v>7</v>
      </c>
      <c r="F239" s="4">
        <v>94</v>
      </c>
      <c r="G239" s="4">
        <v>966.92</v>
      </c>
      <c r="H239" s="4"/>
      <c r="I239" s="4"/>
      <c r="J239" s="5">
        <f t="shared" si="14"/>
        <v>16</v>
      </c>
      <c r="K239" s="4"/>
      <c r="L239" s="4"/>
      <c r="M239" s="4"/>
      <c r="N239" s="4"/>
    </row>
    <row r="240" spans="4:14">
      <c r="D240" s="4">
        <v>113</v>
      </c>
      <c r="E240" s="4">
        <v>8</v>
      </c>
      <c r="F240" s="4">
        <v>94</v>
      </c>
      <c r="G240" s="4">
        <v>856.21</v>
      </c>
      <c r="H240" s="4"/>
      <c r="I240" s="4"/>
      <c r="J240" s="5">
        <f t="shared" si="14"/>
        <v>13</v>
      </c>
      <c r="K240" s="4"/>
      <c r="L240" s="4"/>
      <c r="M240" s="4"/>
      <c r="N240" s="4"/>
    </row>
    <row r="241" spans="4:14">
      <c r="D241" s="4">
        <v>113</v>
      </c>
      <c r="E241" s="4">
        <v>9</v>
      </c>
      <c r="F241" s="4">
        <v>94</v>
      </c>
      <c r="G241" s="4">
        <v>840.46</v>
      </c>
      <c r="H241" s="4"/>
      <c r="I241" s="4"/>
      <c r="J241" s="5">
        <f t="shared" si="14"/>
        <v>13</v>
      </c>
      <c r="K241" s="4"/>
      <c r="L241" s="4"/>
      <c r="M241" s="4"/>
      <c r="N241" s="4"/>
    </row>
    <row r="242" spans="4:14">
      <c r="D242" s="4">
        <v>115</v>
      </c>
      <c r="E242" s="4">
        <v>6</v>
      </c>
      <c r="F242" s="4">
        <v>95</v>
      </c>
      <c r="G242" s="4">
        <v>1228.53</v>
      </c>
      <c r="H242" s="4"/>
      <c r="I242" s="4"/>
      <c r="J242" s="5">
        <f t="shared" si="14"/>
        <v>19</v>
      </c>
      <c r="K242" s="4"/>
      <c r="L242" s="4"/>
      <c r="M242" s="4"/>
      <c r="N242" s="4"/>
    </row>
    <row r="243" spans="4:14">
      <c r="D243" s="4">
        <v>115</v>
      </c>
      <c r="E243" s="4">
        <v>7</v>
      </c>
      <c r="F243" s="4">
        <v>95</v>
      </c>
      <c r="G243" s="4">
        <v>1080.08</v>
      </c>
      <c r="H243" s="4"/>
      <c r="I243" s="4"/>
      <c r="J243" s="5">
        <f t="shared" si="14"/>
        <v>16</v>
      </c>
      <c r="K243" s="4"/>
      <c r="L243" s="4"/>
      <c r="M243" s="4"/>
      <c r="N243" s="4"/>
    </row>
    <row r="244" spans="4:14">
      <c r="D244" s="4">
        <v>115</v>
      </c>
      <c r="E244" s="4">
        <v>8</v>
      </c>
      <c r="F244" s="4">
        <v>95</v>
      </c>
      <c r="G244" s="4">
        <v>939.46</v>
      </c>
      <c r="H244" s="4"/>
      <c r="I244" s="4"/>
      <c r="J244" s="5">
        <f t="shared" si="14"/>
        <v>15</v>
      </c>
      <c r="K244" s="4"/>
      <c r="L244" s="4"/>
      <c r="M244" s="4"/>
      <c r="N244" s="4"/>
    </row>
    <row r="245" spans="4:14">
      <c r="D245" s="4">
        <v>115</v>
      </c>
      <c r="E245" s="4">
        <v>9</v>
      </c>
      <c r="F245" s="4">
        <v>95</v>
      </c>
      <c r="G245" s="4">
        <v>896.63</v>
      </c>
      <c r="H245" s="4"/>
      <c r="I245" s="4"/>
      <c r="J245" s="5">
        <f t="shared" si="14"/>
        <v>12</v>
      </c>
      <c r="K245" s="4"/>
      <c r="L245" s="4"/>
      <c r="M245" s="4"/>
      <c r="N245" s="4"/>
    </row>
  </sheetData>
  <mergeCells count="1">
    <mergeCell ref="D4:N5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pump cost</vt:lpstr>
      <vt:lpstr>SimPnjBKZ</vt:lpstr>
      <vt:lpstr>PnjBKZ cost</vt:lpstr>
      <vt:lpstr>PnjBKZ cost （ds)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2024-04-06T12:06:59Z</dcterms:modified>
</cp:coreProperties>
</file>