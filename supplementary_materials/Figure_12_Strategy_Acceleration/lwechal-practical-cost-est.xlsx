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8_{B11165AA-66E0-FA49-88A2-685D812FFD87}" xr6:coauthVersionLast="47" xr6:coauthVersionMax="47" xr10:uidLastSave="{00000000-0000-0000-0000-000000000000}"/>
  <bookViews>
    <workbookView xWindow="3020" yWindow="100" windowWidth="18200" windowHeight="13280" xr2:uid="{00000000-000D-0000-FFFF-FFFF00000000}"/>
  </bookViews>
  <sheets>
    <sheet name="practical_cost_mode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3" l="1"/>
  <c r="F73" i="3"/>
  <c r="F72" i="3"/>
  <c r="F46" i="3"/>
  <c r="F70" i="3"/>
  <c r="F31" i="3"/>
  <c r="F63" i="3"/>
  <c r="F71" i="3"/>
  <c r="F75" i="3"/>
  <c r="F32" i="3"/>
  <c r="F47" i="3"/>
  <c r="F40" i="3"/>
  <c r="F64" i="3"/>
  <c r="F62" i="3"/>
  <c r="F56" i="3"/>
  <c r="F57" i="3"/>
  <c r="F55" i="3"/>
  <c r="F54" i="3"/>
  <c r="F48" i="3"/>
  <c r="F39" i="3"/>
  <c r="F25" i="3"/>
  <c r="F33" i="3"/>
  <c r="F24" i="3"/>
  <c r="F18" i="3"/>
  <c r="F17" i="3"/>
  <c r="F7" i="3"/>
  <c r="F8" i="3"/>
  <c r="F9" i="3"/>
  <c r="F10" i="3"/>
  <c r="F11" i="3"/>
  <c r="F12" i="3"/>
  <c r="F13" i="3"/>
  <c r="F14" i="3"/>
  <c r="F15" i="3"/>
  <c r="F16" i="3"/>
  <c r="F19" i="3"/>
  <c r="F20" i="3"/>
  <c r="F21" i="3"/>
  <c r="F22" i="3"/>
  <c r="F23" i="3"/>
  <c r="F26" i="3"/>
  <c r="F27" i="3"/>
  <c r="F28" i="3"/>
  <c r="F29" i="3"/>
  <c r="F30" i="3"/>
  <c r="F34" i="3"/>
  <c r="F35" i="3"/>
  <c r="F36" i="3"/>
  <c r="F37" i="3"/>
  <c r="F38" i="3"/>
  <c r="F41" i="3"/>
  <c r="F42" i="3"/>
  <c r="F43" i="3"/>
  <c r="F44" i="3"/>
  <c r="F45" i="3"/>
  <c r="F49" i="3"/>
  <c r="F50" i="3"/>
  <c r="F51" i="3"/>
  <c r="F52" i="3"/>
  <c r="F53" i="3"/>
  <c r="F58" i="3"/>
  <c r="F59" i="3"/>
  <c r="F60" i="3"/>
  <c r="F61" i="3"/>
  <c r="F65" i="3"/>
  <c r="F66" i="3"/>
  <c r="F67" i="3"/>
  <c r="F68" i="3"/>
  <c r="F69" i="3"/>
  <c r="F6" i="3"/>
</calcChain>
</file>

<file path=xl/sharedStrings.xml><?xml version="1.0" encoding="utf-8"?>
<sst xmlns="http://schemas.openxmlformats.org/spreadsheetml/2006/main" count="7" uniqueCount="7">
  <si>
    <t>n</t>
    <phoneticPr fontId="1" type="noConversion"/>
  </si>
  <si>
    <t>alpha</t>
    <phoneticPr fontId="1" type="noConversion"/>
  </si>
  <si>
    <t>S_op</t>
    <phoneticPr fontId="1" type="noConversion"/>
  </si>
  <si>
    <t>S0</t>
    <phoneticPr fontId="1" type="noConversion"/>
  </si>
  <si>
    <t>Cost (log2(sec))</t>
    <phoneticPr fontId="1" type="noConversion"/>
  </si>
  <si>
    <t>ΔS0-S_op</t>
    <phoneticPr fontId="1" type="noConversion"/>
  </si>
  <si>
    <t>practical cost model,beta_start = 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</si>
</sst>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75"/>
  <sheetViews>
    <sheetView tabSelected="1" topLeftCell="A50" workbookViewId="0">
      <selection activeCell="G72" sqref="G72"/>
    </sheetView>
  </sheetViews>
  <sheetFormatPr baseColWidth="10" defaultColWidth="8.83203125" defaultRowHeight="14"/>
  <cols>
    <col min="4" max="4" width="8.83203125" customWidth="1"/>
    <col min="6" max="6" width="9.5" customWidth="1"/>
    <col min="7" max="7" width="10.6640625" customWidth="1"/>
  </cols>
  <sheetData>
    <row r="3" spans="2:9">
      <c r="B3" s="8" t="s">
        <v>6</v>
      </c>
      <c r="C3" s="9"/>
      <c r="D3" s="9"/>
      <c r="E3" s="9"/>
      <c r="F3" s="10"/>
    </row>
    <row r="4" spans="2:9">
      <c r="B4" s="4" t="s">
        <v>0</v>
      </c>
      <c r="C4" s="4" t="s">
        <v>1</v>
      </c>
      <c r="D4" s="3" t="s">
        <v>4</v>
      </c>
      <c r="E4" s="3"/>
      <c r="F4" s="5"/>
    </row>
    <row r="5" spans="2:9">
      <c r="B5" s="4"/>
      <c r="C5" s="4"/>
      <c r="D5" s="2" t="s">
        <v>2</v>
      </c>
      <c r="E5" s="2" t="s">
        <v>3</v>
      </c>
      <c r="F5" s="5" t="s">
        <v>5</v>
      </c>
    </row>
    <row r="6" spans="2:9">
      <c r="B6" s="6">
        <v>40</v>
      </c>
      <c r="C6" s="6">
        <v>0.02</v>
      </c>
      <c r="D6" s="6">
        <v>9.2200000000000006</v>
      </c>
      <c r="E6" s="6">
        <v>11.4</v>
      </c>
      <c r="F6" s="5">
        <f>E6-D6</f>
        <v>2.1799999999999997</v>
      </c>
    </row>
    <row r="7" spans="2:9">
      <c r="B7" s="6">
        <v>40</v>
      </c>
      <c r="C7" s="6">
        <v>2.5000000000000001E-2</v>
      </c>
      <c r="D7" s="6">
        <v>10.9</v>
      </c>
      <c r="E7" s="6">
        <v>13.25</v>
      </c>
      <c r="F7" s="5">
        <f t="shared" ref="F7:F75" si="0">E7-D7</f>
        <v>2.3499999999999996</v>
      </c>
      <c r="G7" s="1"/>
      <c r="H7" s="1"/>
      <c r="I7" s="1"/>
    </row>
    <row r="8" spans="2:9">
      <c r="B8" s="6">
        <v>40</v>
      </c>
      <c r="C8" s="6">
        <v>0.03</v>
      </c>
      <c r="D8" s="6">
        <v>13.06</v>
      </c>
      <c r="E8" s="6">
        <v>15.37</v>
      </c>
      <c r="F8" s="5">
        <f t="shared" si="0"/>
        <v>2.3099999999999987</v>
      </c>
      <c r="G8" s="1"/>
      <c r="H8" s="1"/>
      <c r="I8" s="1"/>
    </row>
    <row r="9" spans="2:9">
      <c r="B9" s="6">
        <v>40</v>
      </c>
      <c r="C9" s="6">
        <v>3.5000000000000003E-2</v>
      </c>
      <c r="D9" s="6">
        <v>17.05</v>
      </c>
      <c r="E9" s="6">
        <v>18.52</v>
      </c>
      <c r="F9" s="5">
        <f t="shared" si="0"/>
        <v>1.4699999999999989</v>
      </c>
      <c r="G9" s="1"/>
      <c r="H9" s="1"/>
      <c r="I9" s="1"/>
    </row>
    <row r="10" spans="2:9">
      <c r="B10" s="6">
        <v>40</v>
      </c>
      <c r="C10" s="6">
        <v>0.04</v>
      </c>
      <c r="D10" s="6">
        <v>21.7</v>
      </c>
      <c r="E10" s="6">
        <v>22.16</v>
      </c>
      <c r="F10" s="5">
        <f t="shared" si="0"/>
        <v>0.46000000000000085</v>
      </c>
      <c r="G10" s="1"/>
      <c r="H10" s="1"/>
      <c r="I10" s="1"/>
    </row>
    <row r="11" spans="2:9">
      <c r="B11" s="6">
        <v>45</v>
      </c>
      <c r="C11" s="6">
        <v>1.4999999999999999E-2</v>
      </c>
      <c r="D11" s="6">
        <v>9.6</v>
      </c>
      <c r="E11" s="6">
        <v>12.11</v>
      </c>
      <c r="F11" s="5">
        <f t="shared" si="0"/>
        <v>2.5099999999999998</v>
      </c>
      <c r="G11" s="1"/>
      <c r="H11" s="1"/>
      <c r="I11" s="1"/>
    </row>
    <row r="12" spans="2:9">
      <c r="B12" s="6">
        <v>45</v>
      </c>
      <c r="C12" s="6">
        <v>45</v>
      </c>
      <c r="D12" s="6">
        <v>11.41</v>
      </c>
      <c r="E12" s="6">
        <v>13.98</v>
      </c>
      <c r="F12" s="5">
        <f t="shared" si="0"/>
        <v>2.5700000000000003</v>
      </c>
      <c r="H12" s="1"/>
      <c r="I12" s="1"/>
    </row>
    <row r="13" spans="2:9">
      <c r="B13" s="6">
        <v>45</v>
      </c>
      <c r="C13" s="6">
        <v>2.5000000000000001E-2</v>
      </c>
      <c r="D13" s="6">
        <v>14.68</v>
      </c>
      <c r="E13" s="6">
        <v>17.149999999999999</v>
      </c>
      <c r="F13" s="5">
        <f t="shared" si="0"/>
        <v>2.4699999999999989</v>
      </c>
      <c r="G13" s="1"/>
      <c r="H13" s="1"/>
      <c r="I13" s="1"/>
    </row>
    <row r="14" spans="2:9">
      <c r="B14" s="6">
        <v>45</v>
      </c>
      <c r="C14" s="6">
        <v>0.03</v>
      </c>
      <c r="D14" s="6">
        <v>19.95</v>
      </c>
      <c r="E14" s="6">
        <v>20.8</v>
      </c>
      <c r="F14" s="5">
        <f t="shared" si="0"/>
        <v>0.85000000000000142</v>
      </c>
      <c r="G14" s="1"/>
      <c r="H14" s="1"/>
      <c r="I14" s="1"/>
    </row>
    <row r="15" spans="2:9">
      <c r="B15" s="6">
        <v>45</v>
      </c>
      <c r="C15" s="6">
        <v>3.5000000000000003E-2</v>
      </c>
      <c r="D15" s="6">
        <v>25.63</v>
      </c>
      <c r="E15" s="6">
        <v>25.94</v>
      </c>
      <c r="F15" s="5">
        <f t="shared" si="0"/>
        <v>0.31000000000000227</v>
      </c>
      <c r="G15" s="1"/>
      <c r="H15" s="1"/>
      <c r="I15" s="1"/>
    </row>
    <row r="16" spans="2:9">
      <c r="B16" s="6">
        <v>45</v>
      </c>
      <c r="C16" s="6">
        <v>0.04</v>
      </c>
      <c r="D16" s="6">
        <v>31.13</v>
      </c>
      <c r="E16" s="6">
        <v>31.33</v>
      </c>
      <c r="F16" s="5">
        <f t="shared" si="0"/>
        <v>0.19999999999999929</v>
      </c>
      <c r="G16" s="1"/>
      <c r="H16" s="1"/>
      <c r="I16" s="1"/>
    </row>
    <row r="17" spans="2:9">
      <c r="B17" s="6">
        <v>50</v>
      </c>
      <c r="C17" s="6">
        <v>0.01</v>
      </c>
      <c r="D17" s="6">
        <v>9.2200000000000006</v>
      </c>
      <c r="E17" s="6">
        <v>11.72</v>
      </c>
      <c r="F17" s="5">
        <f t="shared" si="0"/>
        <v>2.5</v>
      </c>
      <c r="G17" s="1"/>
      <c r="H17" s="1"/>
      <c r="I17" s="1"/>
    </row>
    <row r="18" spans="2:9">
      <c r="B18" s="6">
        <v>50</v>
      </c>
      <c r="C18" s="6">
        <v>1.4999999999999999E-2</v>
      </c>
      <c r="D18" s="6">
        <v>11.44</v>
      </c>
      <c r="E18" s="6">
        <v>14.12</v>
      </c>
      <c r="F18" s="5">
        <f t="shared" si="0"/>
        <v>2.6799999999999997</v>
      </c>
      <c r="G18" s="1"/>
      <c r="H18" s="1"/>
      <c r="I18" s="1"/>
    </row>
    <row r="19" spans="2:9">
      <c r="B19" s="6">
        <v>50</v>
      </c>
      <c r="C19" s="6">
        <v>0.02</v>
      </c>
      <c r="D19" s="6">
        <v>15.14</v>
      </c>
      <c r="E19" s="6">
        <v>17.72</v>
      </c>
      <c r="F19" s="5">
        <f t="shared" si="0"/>
        <v>2.5799999999999983</v>
      </c>
      <c r="G19" s="1"/>
      <c r="H19" s="1"/>
      <c r="I19" s="1"/>
    </row>
    <row r="20" spans="2:9">
      <c r="B20" s="6">
        <v>50</v>
      </c>
      <c r="C20" s="6">
        <v>2.5000000000000001E-2</v>
      </c>
      <c r="D20" s="6">
        <v>21.48</v>
      </c>
      <c r="E20" s="6">
        <v>22.25</v>
      </c>
      <c r="F20" s="5">
        <f t="shared" si="0"/>
        <v>0.76999999999999957</v>
      </c>
      <c r="G20" s="1"/>
      <c r="H20" s="1"/>
      <c r="I20" s="1"/>
    </row>
    <row r="21" spans="2:9">
      <c r="B21" s="6">
        <v>50</v>
      </c>
      <c r="C21" s="6">
        <v>0.03</v>
      </c>
      <c r="D21" s="6">
        <v>28.27</v>
      </c>
      <c r="E21" s="6">
        <v>28.57</v>
      </c>
      <c r="F21" s="5">
        <f t="shared" si="0"/>
        <v>0.30000000000000071</v>
      </c>
      <c r="G21" s="1"/>
      <c r="H21" s="1"/>
      <c r="I21" s="1"/>
    </row>
    <row r="22" spans="2:9">
      <c r="B22" s="6">
        <v>50</v>
      </c>
      <c r="C22" s="6">
        <v>3.5000000000000003E-2</v>
      </c>
      <c r="D22" s="6">
        <v>34.64</v>
      </c>
      <c r="E22" s="6">
        <v>34.869999999999997</v>
      </c>
      <c r="F22" s="5">
        <f t="shared" si="0"/>
        <v>0.22999999999999687</v>
      </c>
      <c r="G22" s="1"/>
      <c r="H22" s="1"/>
      <c r="I22" s="1"/>
    </row>
    <row r="23" spans="2:9">
      <c r="B23" s="6">
        <v>50</v>
      </c>
      <c r="C23" s="6">
        <v>0.04</v>
      </c>
      <c r="D23" s="6">
        <v>40.74</v>
      </c>
      <c r="E23" s="6">
        <v>40.880000000000003</v>
      </c>
      <c r="F23" s="5">
        <f t="shared" si="0"/>
        <v>0.14000000000000057</v>
      </c>
      <c r="G23" s="1"/>
      <c r="H23" s="1"/>
      <c r="I23" s="1"/>
    </row>
    <row r="24" spans="2:9">
      <c r="B24" s="6">
        <v>55</v>
      </c>
      <c r="C24" s="6">
        <v>0.01</v>
      </c>
      <c r="D24" s="6">
        <v>10.94</v>
      </c>
      <c r="E24" s="6">
        <v>13.77</v>
      </c>
      <c r="F24" s="5">
        <f t="shared" si="0"/>
        <v>2.83</v>
      </c>
      <c r="G24" s="1"/>
      <c r="H24" s="1"/>
      <c r="I24" s="1"/>
    </row>
    <row r="25" spans="2:9">
      <c r="B25" s="6">
        <v>55</v>
      </c>
      <c r="C25" s="6">
        <v>0.15</v>
      </c>
      <c r="D25" s="6">
        <v>14.13</v>
      </c>
      <c r="E25" s="6">
        <v>17.3</v>
      </c>
      <c r="F25" s="5">
        <f t="shared" si="0"/>
        <v>3.17</v>
      </c>
      <c r="G25" s="1"/>
      <c r="H25" s="1"/>
      <c r="I25" s="1"/>
    </row>
    <row r="26" spans="2:9">
      <c r="B26" s="6">
        <v>55</v>
      </c>
      <c r="C26" s="6">
        <v>0.02</v>
      </c>
      <c r="D26" s="6">
        <v>21.32</v>
      </c>
      <c r="E26" s="6">
        <v>22.2</v>
      </c>
      <c r="F26" s="5">
        <f t="shared" si="0"/>
        <v>0.87999999999999901</v>
      </c>
      <c r="G26" s="1"/>
      <c r="H26" s="1"/>
      <c r="I26" s="1"/>
    </row>
    <row r="27" spans="2:9">
      <c r="B27" s="6">
        <v>55</v>
      </c>
      <c r="C27" s="6">
        <v>2.5000000000000001E-2</v>
      </c>
      <c r="D27" s="6">
        <v>29.32</v>
      </c>
      <c r="E27" s="6">
        <v>29.69</v>
      </c>
      <c r="F27" s="5">
        <f t="shared" si="0"/>
        <v>0.37000000000000099</v>
      </c>
      <c r="G27" s="1"/>
      <c r="H27" s="1"/>
      <c r="I27" s="1"/>
    </row>
    <row r="28" spans="2:9">
      <c r="B28" s="6">
        <v>55</v>
      </c>
      <c r="C28" s="6">
        <v>0.03</v>
      </c>
      <c r="D28" s="6">
        <v>36.82</v>
      </c>
      <c r="E28" s="6">
        <v>37.090000000000003</v>
      </c>
      <c r="F28" s="5">
        <f t="shared" si="0"/>
        <v>0.27000000000000313</v>
      </c>
      <c r="G28" s="1"/>
      <c r="H28" s="1"/>
      <c r="I28" s="1"/>
    </row>
    <row r="29" spans="2:9">
      <c r="B29" s="6">
        <v>55</v>
      </c>
      <c r="C29" s="6">
        <v>3.5000000000000003E-2</v>
      </c>
      <c r="D29" s="6">
        <v>43.82</v>
      </c>
      <c r="E29" s="6">
        <v>44.01</v>
      </c>
      <c r="F29" s="5">
        <f t="shared" si="0"/>
        <v>0.18999999999999773</v>
      </c>
      <c r="G29" s="1"/>
      <c r="H29" s="1"/>
      <c r="I29" s="1"/>
    </row>
    <row r="30" spans="2:9">
      <c r="B30" s="6">
        <v>55</v>
      </c>
      <c r="C30" s="6">
        <v>0.04</v>
      </c>
      <c r="D30" s="6">
        <v>50.12</v>
      </c>
      <c r="E30" s="6">
        <v>50.18</v>
      </c>
      <c r="F30" s="5">
        <f t="shared" si="0"/>
        <v>6.0000000000002274E-2</v>
      </c>
      <c r="G30" s="1"/>
      <c r="H30" s="1"/>
      <c r="I30" s="1"/>
    </row>
    <row r="31" spans="2:9">
      <c r="B31" s="6">
        <v>60</v>
      </c>
      <c r="C31" s="6">
        <v>5.0000000000000001E-3</v>
      </c>
      <c r="D31" s="6">
        <v>9.18</v>
      </c>
      <c r="E31" s="6">
        <v>11.05</v>
      </c>
      <c r="F31" s="5">
        <f t="shared" si="0"/>
        <v>1.870000000000001</v>
      </c>
      <c r="G31" s="1"/>
      <c r="H31" s="1"/>
      <c r="I31" s="1"/>
    </row>
    <row r="32" spans="2:9">
      <c r="B32" s="6">
        <v>60</v>
      </c>
      <c r="C32" s="6">
        <v>0.01</v>
      </c>
      <c r="D32" s="6">
        <v>12.42</v>
      </c>
      <c r="E32" s="6">
        <v>15.56</v>
      </c>
      <c r="F32" s="5">
        <f t="shared" si="0"/>
        <v>3.1400000000000006</v>
      </c>
      <c r="G32" s="1"/>
      <c r="H32" s="1"/>
      <c r="I32" s="1"/>
    </row>
    <row r="33" spans="2:9">
      <c r="B33" s="6">
        <v>60</v>
      </c>
      <c r="C33" s="6">
        <v>1.4999999999999999E-2</v>
      </c>
      <c r="D33" s="7">
        <v>18.98</v>
      </c>
      <c r="E33" s="6">
        <v>20.47</v>
      </c>
      <c r="F33" s="5">
        <f t="shared" si="0"/>
        <v>1.4899999999999984</v>
      </c>
      <c r="G33" s="1"/>
      <c r="H33" s="1"/>
      <c r="I33" s="1"/>
    </row>
    <row r="34" spans="2:9">
      <c r="B34" s="6">
        <v>60</v>
      </c>
      <c r="C34" s="6">
        <v>0.02</v>
      </c>
      <c r="D34" s="6">
        <v>28.47</v>
      </c>
      <c r="E34" s="6">
        <v>28.88</v>
      </c>
      <c r="F34" s="5">
        <f t="shared" si="0"/>
        <v>0.41000000000000014</v>
      </c>
      <c r="G34" s="1"/>
      <c r="H34" s="1"/>
      <c r="I34" s="1"/>
    </row>
    <row r="35" spans="2:9">
      <c r="B35" s="6">
        <v>60</v>
      </c>
      <c r="C35" s="6">
        <v>2.5000000000000001E-2</v>
      </c>
      <c r="D35" s="6">
        <v>37.26</v>
      </c>
      <c r="E35" s="6">
        <v>37.6</v>
      </c>
      <c r="F35" s="5">
        <f t="shared" si="0"/>
        <v>0.34000000000000341</v>
      </c>
      <c r="G35" s="1"/>
      <c r="H35" s="1"/>
      <c r="I35" s="1"/>
    </row>
    <row r="36" spans="2:9">
      <c r="B36" s="6">
        <v>60</v>
      </c>
      <c r="C36" s="6">
        <v>0.03</v>
      </c>
      <c r="D36" s="6">
        <v>45.38</v>
      </c>
      <c r="E36" s="6">
        <v>45.66</v>
      </c>
      <c r="F36" s="5">
        <f t="shared" si="0"/>
        <v>0.27999999999999403</v>
      </c>
      <c r="G36" s="1"/>
      <c r="H36" s="1"/>
      <c r="I36" s="1"/>
    </row>
    <row r="37" spans="2:9">
      <c r="B37" s="6">
        <v>60</v>
      </c>
      <c r="C37" s="6">
        <v>3.5000000000000003E-2</v>
      </c>
      <c r="D37" s="6">
        <v>53.03</v>
      </c>
      <c r="E37" s="6">
        <v>53.22</v>
      </c>
      <c r="F37" s="5">
        <f t="shared" si="0"/>
        <v>0.18999999999999773</v>
      </c>
      <c r="G37" s="1"/>
      <c r="H37" s="1"/>
      <c r="I37" s="1"/>
    </row>
    <row r="38" spans="2:9">
      <c r="B38" s="6">
        <v>60</v>
      </c>
      <c r="C38" s="6">
        <v>0.04</v>
      </c>
      <c r="D38" s="6">
        <v>60.3</v>
      </c>
      <c r="E38" s="6">
        <v>60.4</v>
      </c>
      <c r="F38" s="5">
        <f t="shared" si="0"/>
        <v>0.10000000000000142</v>
      </c>
      <c r="G38" s="1"/>
      <c r="H38" s="1"/>
      <c r="I38" s="1"/>
    </row>
    <row r="39" spans="2:9">
      <c r="B39" s="6">
        <v>65</v>
      </c>
      <c r="C39" s="6">
        <v>0.01</v>
      </c>
      <c r="D39" s="6">
        <v>14.85</v>
      </c>
      <c r="E39" s="6">
        <v>18.100000000000001</v>
      </c>
      <c r="F39" s="5">
        <f t="shared" si="0"/>
        <v>3.2500000000000018</v>
      </c>
      <c r="G39" s="1"/>
      <c r="H39" s="1"/>
      <c r="I39" s="1"/>
    </row>
    <row r="40" spans="2:9">
      <c r="B40" s="6">
        <v>65</v>
      </c>
      <c r="C40" s="6">
        <v>1.4999999999999999E-2</v>
      </c>
      <c r="D40" s="6">
        <v>25.17</v>
      </c>
      <c r="E40" s="6">
        <v>25.76</v>
      </c>
      <c r="F40" s="5">
        <f t="shared" si="0"/>
        <v>0.58999999999999986</v>
      </c>
      <c r="G40" s="1"/>
      <c r="H40" s="1"/>
      <c r="I40" s="1"/>
    </row>
    <row r="41" spans="2:9">
      <c r="B41" s="6">
        <v>65</v>
      </c>
      <c r="C41" s="6">
        <v>0.02</v>
      </c>
      <c r="D41" s="6">
        <v>35.729999999999997</v>
      </c>
      <c r="E41" s="6">
        <v>36.17</v>
      </c>
      <c r="F41" s="5">
        <f t="shared" si="0"/>
        <v>0.44000000000000483</v>
      </c>
      <c r="G41" s="1"/>
      <c r="H41" s="1"/>
      <c r="I41" s="1"/>
    </row>
    <row r="42" spans="2:9">
      <c r="B42" s="6">
        <v>65</v>
      </c>
      <c r="C42" s="6">
        <v>2.5000000000000001E-2</v>
      </c>
      <c r="D42" s="6">
        <v>45.32</v>
      </c>
      <c r="E42" s="6">
        <v>45.64</v>
      </c>
      <c r="F42" s="5">
        <f t="shared" si="0"/>
        <v>0.32000000000000028</v>
      </c>
      <c r="G42" s="1"/>
      <c r="H42" s="1"/>
      <c r="I42" s="1"/>
    </row>
    <row r="43" spans="2:9">
      <c r="B43" s="6">
        <v>65</v>
      </c>
      <c r="C43" s="6">
        <v>0.03</v>
      </c>
      <c r="D43" s="6">
        <v>54.09</v>
      </c>
      <c r="E43" s="6">
        <v>54.37</v>
      </c>
      <c r="F43" s="5">
        <f t="shared" si="0"/>
        <v>0.27999999999999403</v>
      </c>
      <c r="G43" s="1"/>
      <c r="H43" s="1"/>
      <c r="I43" s="1"/>
    </row>
    <row r="44" spans="2:9">
      <c r="B44" s="6">
        <v>65</v>
      </c>
      <c r="C44" s="6">
        <v>3.5000000000000003E-2</v>
      </c>
      <c r="D44" s="6">
        <v>62.38</v>
      </c>
      <c r="E44" s="6">
        <v>62.54</v>
      </c>
      <c r="F44" s="5">
        <f t="shared" si="0"/>
        <v>0.15999999999999659</v>
      </c>
      <c r="G44" s="1"/>
      <c r="H44" s="1"/>
      <c r="I44" s="1"/>
    </row>
    <row r="45" spans="2:9">
      <c r="B45" s="6">
        <v>65</v>
      </c>
      <c r="C45" s="6">
        <v>0.04</v>
      </c>
      <c r="D45" s="6">
        <v>70.2</v>
      </c>
      <c r="E45" s="6">
        <v>70.31</v>
      </c>
      <c r="F45" s="5">
        <f t="shared" si="0"/>
        <v>0.10999999999999943</v>
      </c>
      <c r="G45" s="1"/>
      <c r="H45" s="1"/>
      <c r="I45" s="1"/>
    </row>
    <row r="46" spans="2:9">
      <c r="B46" s="6">
        <v>70</v>
      </c>
      <c r="C46" s="6">
        <v>5.0000000000000001E-3</v>
      </c>
      <c r="D46" s="6">
        <v>11.72</v>
      </c>
      <c r="E46" s="6">
        <v>14.31</v>
      </c>
      <c r="F46" s="5">
        <f t="shared" si="0"/>
        <v>2.59</v>
      </c>
      <c r="G46" s="1"/>
      <c r="H46" s="1"/>
      <c r="I46" s="1"/>
    </row>
    <row r="47" spans="2:9">
      <c r="B47" s="6">
        <v>70</v>
      </c>
      <c r="C47" s="6">
        <v>0.01</v>
      </c>
      <c r="D47" s="6">
        <v>18.989999999999998</v>
      </c>
      <c r="E47" s="6">
        <v>20.63</v>
      </c>
      <c r="F47" s="5">
        <f t="shared" si="0"/>
        <v>1.6400000000000006</v>
      </c>
      <c r="G47" s="1"/>
      <c r="H47" s="1"/>
      <c r="I47" s="1"/>
    </row>
    <row r="48" spans="2:9">
      <c r="B48" s="6">
        <v>70</v>
      </c>
      <c r="C48" s="6">
        <v>1.4999999999999999E-2</v>
      </c>
      <c r="D48" s="6">
        <v>31.75</v>
      </c>
      <c r="E48" s="6">
        <v>32.24</v>
      </c>
      <c r="F48" s="5">
        <f t="shared" si="0"/>
        <v>0.49000000000000199</v>
      </c>
      <c r="G48" s="1"/>
      <c r="H48" s="1"/>
      <c r="I48" s="1"/>
    </row>
    <row r="49" spans="2:9">
      <c r="B49" s="6">
        <v>70</v>
      </c>
      <c r="C49" s="6">
        <v>0.02</v>
      </c>
      <c r="D49" s="6">
        <v>43.17</v>
      </c>
      <c r="E49" s="6">
        <v>43.58</v>
      </c>
      <c r="F49" s="5">
        <f t="shared" si="0"/>
        <v>0.40999999999999659</v>
      </c>
      <c r="G49" s="1"/>
      <c r="H49" s="1"/>
      <c r="I49" s="1"/>
    </row>
    <row r="50" spans="2:9">
      <c r="B50" s="6">
        <v>70</v>
      </c>
      <c r="C50" s="6">
        <v>2.5000000000000001E-2</v>
      </c>
      <c r="D50" s="6">
        <v>53.45</v>
      </c>
      <c r="E50" s="6">
        <v>53.77</v>
      </c>
      <c r="F50" s="5">
        <f t="shared" si="0"/>
        <v>0.32000000000000028</v>
      </c>
      <c r="G50" s="1"/>
      <c r="H50" s="1"/>
      <c r="I50" s="1"/>
    </row>
    <row r="51" spans="2:9">
      <c r="B51" s="6">
        <v>70</v>
      </c>
      <c r="C51" s="6">
        <v>0.03</v>
      </c>
      <c r="D51" s="6">
        <v>62.92</v>
      </c>
      <c r="E51" s="6">
        <v>63.15</v>
      </c>
      <c r="F51" s="5">
        <f t="shared" si="0"/>
        <v>0.22999999999999687</v>
      </c>
      <c r="G51" s="1"/>
      <c r="H51" s="1"/>
      <c r="I51" s="1"/>
    </row>
    <row r="52" spans="2:9">
      <c r="B52" s="6">
        <v>70</v>
      </c>
      <c r="C52" s="6">
        <v>3.5000000000000003E-2</v>
      </c>
      <c r="D52" s="6">
        <v>71.849999999999994</v>
      </c>
      <c r="E52" s="6">
        <v>71.959999999999994</v>
      </c>
      <c r="F52" s="5">
        <f t="shared" si="0"/>
        <v>0.10999999999999943</v>
      </c>
      <c r="G52" s="1"/>
      <c r="H52" s="1"/>
      <c r="I52" s="1"/>
    </row>
    <row r="53" spans="2:9">
      <c r="B53" s="6">
        <v>70</v>
      </c>
      <c r="C53" s="6">
        <v>0.04</v>
      </c>
      <c r="D53" s="6">
        <v>78.790000000000006</v>
      </c>
      <c r="E53" s="6">
        <v>78.819999999999993</v>
      </c>
      <c r="F53" s="5">
        <f t="shared" si="0"/>
        <v>2.9999999999986926E-2</v>
      </c>
      <c r="G53" s="1"/>
      <c r="H53" s="1"/>
      <c r="I53" s="1"/>
    </row>
    <row r="54" spans="2:9">
      <c r="B54" s="6">
        <v>75</v>
      </c>
      <c r="C54" s="6">
        <v>5.0000000000000001E-3</v>
      </c>
      <c r="D54" s="6">
        <v>12.77</v>
      </c>
      <c r="E54" s="6">
        <v>16.059999999999999</v>
      </c>
      <c r="F54" s="5">
        <f t="shared" si="0"/>
        <v>3.2899999999999991</v>
      </c>
      <c r="G54" s="1"/>
      <c r="H54" s="1"/>
      <c r="I54" s="1"/>
    </row>
    <row r="55" spans="2:9">
      <c r="B55" s="6">
        <v>75</v>
      </c>
      <c r="C55" s="6">
        <v>0.01</v>
      </c>
      <c r="D55" s="6">
        <v>24.29</v>
      </c>
      <c r="E55" s="6">
        <v>25.02</v>
      </c>
      <c r="F55" s="5">
        <f t="shared" si="0"/>
        <v>0.73000000000000043</v>
      </c>
      <c r="G55" s="1"/>
      <c r="H55" s="1"/>
      <c r="I55" s="1"/>
    </row>
    <row r="56" spans="2:9">
      <c r="B56" s="6">
        <v>75</v>
      </c>
      <c r="C56" s="6">
        <v>1.4999999999999999E-2</v>
      </c>
      <c r="D56" s="6">
        <v>38.43</v>
      </c>
      <c r="E56" s="6">
        <v>38.909999999999997</v>
      </c>
      <c r="F56" s="5">
        <f t="shared" si="0"/>
        <v>0.47999999999999687</v>
      </c>
      <c r="G56" s="1"/>
      <c r="H56" s="1"/>
      <c r="I56" s="1"/>
    </row>
    <row r="57" spans="2:9">
      <c r="B57" s="6">
        <v>75</v>
      </c>
      <c r="C57" s="6">
        <v>0.02</v>
      </c>
      <c r="D57" s="6">
        <v>50.68</v>
      </c>
      <c r="E57" s="6">
        <v>51.08</v>
      </c>
      <c r="F57" s="5">
        <f t="shared" si="0"/>
        <v>0.39999999999999858</v>
      </c>
      <c r="G57" s="1"/>
      <c r="H57" s="1"/>
      <c r="I57" s="1"/>
    </row>
    <row r="58" spans="2:9">
      <c r="B58" s="6">
        <v>75</v>
      </c>
      <c r="C58" s="6">
        <v>2.5000000000000001E-2</v>
      </c>
      <c r="D58" s="6"/>
      <c r="E58" s="6">
        <v>62.02</v>
      </c>
      <c r="F58" s="5">
        <f t="shared" si="0"/>
        <v>62.02</v>
      </c>
      <c r="G58" s="1"/>
      <c r="H58" s="1"/>
      <c r="I58" s="1"/>
    </row>
    <row r="59" spans="2:9">
      <c r="B59" s="6">
        <v>75</v>
      </c>
      <c r="C59" s="6">
        <v>0.03</v>
      </c>
      <c r="D59" s="6"/>
      <c r="E59" s="6">
        <v>72.099999999999994</v>
      </c>
      <c r="F59" s="5">
        <f t="shared" si="0"/>
        <v>72.099999999999994</v>
      </c>
      <c r="G59" s="1"/>
      <c r="H59" s="1"/>
      <c r="I59" s="1"/>
    </row>
    <row r="60" spans="2:9">
      <c r="B60" s="6">
        <v>75</v>
      </c>
      <c r="C60" s="6">
        <v>3.5000000000000003E-2</v>
      </c>
      <c r="D60" s="6"/>
      <c r="E60" s="6">
        <v>81.55</v>
      </c>
      <c r="F60" s="5">
        <f t="shared" si="0"/>
        <v>81.55</v>
      </c>
      <c r="G60" s="1"/>
      <c r="H60" s="1"/>
      <c r="I60" s="1"/>
    </row>
    <row r="61" spans="2:9">
      <c r="B61" s="6">
        <v>75</v>
      </c>
      <c r="C61" s="6">
        <v>0.04</v>
      </c>
      <c r="D61" s="6"/>
      <c r="E61" s="6">
        <v>87</v>
      </c>
      <c r="F61" s="5">
        <f t="shared" si="0"/>
        <v>87</v>
      </c>
      <c r="G61" s="1"/>
      <c r="H61" s="1"/>
      <c r="I61" s="1"/>
    </row>
    <row r="62" spans="2:9">
      <c r="B62" s="6">
        <v>80</v>
      </c>
      <c r="C62" s="6">
        <v>5.0000000000000001E-3</v>
      </c>
      <c r="D62" s="6">
        <v>14.23</v>
      </c>
      <c r="E62" s="6">
        <v>17.809999999999999</v>
      </c>
      <c r="F62" s="5">
        <f t="shared" si="0"/>
        <v>3.5799999999999983</v>
      </c>
      <c r="G62" s="1"/>
      <c r="H62" s="1"/>
      <c r="I62" s="1"/>
    </row>
    <row r="63" spans="2:9">
      <c r="B63" s="6">
        <v>80</v>
      </c>
      <c r="C63" s="6">
        <v>0.01</v>
      </c>
      <c r="D63" s="6">
        <v>29.95</v>
      </c>
      <c r="E63" s="6">
        <v>30.51</v>
      </c>
      <c r="F63" s="5">
        <f t="shared" si="0"/>
        <v>0.56000000000000227</v>
      </c>
      <c r="G63" s="1"/>
      <c r="H63" s="1"/>
      <c r="I63" s="1"/>
    </row>
    <row r="64" spans="2:9">
      <c r="B64" s="6">
        <v>80</v>
      </c>
      <c r="C64" s="6">
        <v>1.4999999999999999E-2</v>
      </c>
      <c r="D64" s="6">
        <v>45.17</v>
      </c>
      <c r="E64" s="6">
        <v>45.65</v>
      </c>
      <c r="F64" s="5">
        <f t="shared" si="0"/>
        <v>0.47999999999999687</v>
      </c>
      <c r="G64" s="1"/>
      <c r="H64" s="1"/>
      <c r="I64" s="1"/>
    </row>
    <row r="65" spans="2:9">
      <c r="B65" s="6">
        <v>80</v>
      </c>
      <c r="C65" s="6">
        <v>0.02</v>
      </c>
      <c r="D65" s="6"/>
      <c r="E65" s="6">
        <v>58.68</v>
      </c>
      <c r="F65" s="5">
        <f t="shared" si="0"/>
        <v>58.68</v>
      </c>
      <c r="G65" s="1"/>
      <c r="H65" s="1"/>
      <c r="I65" s="1"/>
    </row>
    <row r="66" spans="2:9">
      <c r="B66" s="6">
        <v>80</v>
      </c>
      <c r="C66" s="6">
        <v>2.5000000000000001E-2</v>
      </c>
      <c r="D66" s="6"/>
      <c r="E66" s="6">
        <v>70.349999999999994</v>
      </c>
      <c r="F66" s="5">
        <f t="shared" si="0"/>
        <v>70.349999999999994</v>
      </c>
      <c r="G66" s="1"/>
      <c r="H66" s="1"/>
      <c r="I66" s="1"/>
    </row>
    <row r="67" spans="2:9">
      <c r="B67" s="6">
        <v>80</v>
      </c>
      <c r="C67" s="6">
        <v>0.03</v>
      </c>
      <c r="D67" s="6"/>
      <c r="E67" s="6">
        <v>81.11</v>
      </c>
      <c r="F67" s="5">
        <f t="shared" si="0"/>
        <v>81.11</v>
      </c>
      <c r="G67" s="1"/>
      <c r="H67" s="1"/>
      <c r="I67" s="1"/>
    </row>
    <row r="68" spans="2:9">
      <c r="B68" s="6">
        <v>80</v>
      </c>
      <c r="C68" s="6">
        <v>3.5000000000000003E-2</v>
      </c>
      <c r="D68" s="6"/>
      <c r="E68" s="6">
        <v>91.06</v>
      </c>
      <c r="F68" s="5">
        <f t="shared" si="0"/>
        <v>91.06</v>
      </c>
      <c r="G68" s="1"/>
      <c r="H68" s="1"/>
      <c r="I68" s="1"/>
    </row>
    <row r="69" spans="2:9">
      <c r="B69" s="6">
        <v>80</v>
      </c>
      <c r="C69" s="6">
        <v>0.04</v>
      </c>
      <c r="D69" s="6"/>
      <c r="E69" s="6">
        <v>97.13</v>
      </c>
      <c r="F69" s="5">
        <f t="shared" si="0"/>
        <v>97.13</v>
      </c>
      <c r="G69" s="1"/>
      <c r="H69" s="1"/>
      <c r="I69" s="1"/>
    </row>
    <row r="70" spans="2:9">
      <c r="B70" s="5">
        <v>85</v>
      </c>
      <c r="C70" s="5">
        <v>5.0000000000000001E-3</v>
      </c>
      <c r="D70" s="5">
        <v>16.71</v>
      </c>
      <c r="E70" s="5">
        <v>19.48</v>
      </c>
      <c r="F70" s="5">
        <f t="shared" si="0"/>
        <v>2.7699999999999996</v>
      </c>
    </row>
    <row r="71" spans="2:9">
      <c r="B71" s="7">
        <v>90</v>
      </c>
      <c r="C71" s="7">
        <v>5.0000000000000001E-3</v>
      </c>
      <c r="D71" s="5">
        <v>20.13</v>
      </c>
      <c r="E71" s="7">
        <v>21.66</v>
      </c>
      <c r="F71" s="5">
        <f t="shared" si="0"/>
        <v>1.5300000000000011</v>
      </c>
    </row>
    <row r="72" spans="2:9">
      <c r="B72" s="7">
        <v>90</v>
      </c>
      <c r="C72" s="7">
        <v>0.01</v>
      </c>
      <c r="D72" s="5">
        <v>41.66</v>
      </c>
      <c r="E72" s="7">
        <v>42.18</v>
      </c>
      <c r="F72" s="5">
        <f t="shared" si="0"/>
        <v>0.52000000000000313</v>
      </c>
    </row>
    <row r="73" spans="2:9">
      <c r="B73" s="7">
        <v>95</v>
      </c>
      <c r="C73" s="7">
        <v>5.0000000000000001E-3</v>
      </c>
      <c r="D73" s="5">
        <v>24.4</v>
      </c>
      <c r="E73" s="7">
        <v>25.22</v>
      </c>
      <c r="F73" s="5">
        <f t="shared" si="0"/>
        <v>0.82000000000000028</v>
      </c>
    </row>
    <row r="74" spans="2:9">
      <c r="B74" s="7">
        <v>95</v>
      </c>
      <c r="C74" s="7">
        <v>0.01</v>
      </c>
      <c r="D74" s="5">
        <v>47.52</v>
      </c>
      <c r="E74" s="7">
        <v>48.08</v>
      </c>
      <c r="F74" s="5">
        <f t="shared" si="0"/>
        <v>0.55999999999999517</v>
      </c>
    </row>
    <row r="75" spans="2:9">
      <c r="B75" s="7">
        <v>100</v>
      </c>
      <c r="C75" s="7">
        <v>5.0000000000000001E-3</v>
      </c>
      <c r="D75" s="5">
        <v>28.91</v>
      </c>
      <c r="E75" s="7">
        <v>29.51</v>
      </c>
      <c r="F75" s="5">
        <f t="shared" si="0"/>
        <v>0.60000000000000142</v>
      </c>
    </row>
  </sheetData>
  <mergeCells count="4">
    <mergeCell ref="D4:E4"/>
    <mergeCell ref="B4:B5"/>
    <mergeCell ref="C4:C5"/>
    <mergeCell ref="B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practical_cost_model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2024-10-03T06:27:09Z</dcterms:modified>
</cp:coreProperties>
</file>