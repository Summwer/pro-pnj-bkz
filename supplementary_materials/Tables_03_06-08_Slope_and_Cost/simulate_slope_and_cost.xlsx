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mer/Documents/GitHub/MyStudy/Artical_in_Public/[2024][Asiacrypt]ProPnjBKZ/supplementary_material/Table6, 11~13/"/>
    </mc:Choice>
  </mc:AlternateContent>
  <xr:revisionPtr revIDLastSave="0" documentId="13_ncr:1_{A37381B7-7635-AA40-B59C-A19CEE6D7777}" xr6:coauthVersionLast="47" xr6:coauthVersionMax="47" xr10:uidLastSave="{00000000-0000-0000-0000-000000000000}"/>
  <bookViews>
    <workbookView xWindow="1900" yWindow="440" windowWidth="27180" windowHeight="13400" xr2:uid="{D1B2D58C-6C97-D94C-9A40-7A7D571331B6}"/>
  </bookViews>
  <sheets>
    <sheet name="simulate-slope-cost-lwech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47" i="1"/>
  <c r="F46" i="1"/>
  <c r="F45" i="1"/>
  <c r="F44" i="1"/>
  <c r="F43" i="1"/>
  <c r="F42" i="1"/>
  <c r="F34" i="1"/>
  <c r="F33" i="1"/>
  <c r="F32" i="1"/>
  <c r="F31" i="1"/>
  <c r="F30" i="1"/>
  <c r="F21" i="1"/>
  <c r="F20" i="1"/>
  <c r="F19" i="1"/>
  <c r="F18" i="1"/>
  <c r="F8" i="1"/>
  <c r="F9" i="1"/>
  <c r="F10" i="1"/>
  <c r="F11" i="1"/>
  <c r="R7" i="1"/>
  <c r="R8" i="1"/>
  <c r="R9" i="1"/>
  <c r="R10" i="1"/>
  <c r="R11" i="1"/>
  <c r="R6" i="1"/>
  <c r="R21" i="1"/>
  <c r="R20" i="1"/>
  <c r="R19" i="1"/>
  <c r="R18" i="1"/>
  <c r="R34" i="1"/>
  <c r="R33" i="1"/>
  <c r="R32" i="1"/>
  <c r="R31" i="1"/>
  <c r="R30" i="1"/>
  <c r="R43" i="1"/>
  <c r="R44" i="1"/>
  <c r="R45" i="1"/>
  <c r="R46" i="1"/>
  <c r="R47" i="1"/>
  <c r="R42" i="1"/>
  <c r="Q48" i="1"/>
  <c r="Q47" i="1"/>
  <c r="Q46" i="1"/>
  <c r="Q45" i="1"/>
  <c r="Q44" i="1"/>
  <c r="Q43" i="1"/>
  <c r="Q42" i="1"/>
  <c r="O48" i="1"/>
  <c r="O47" i="1"/>
  <c r="O46" i="1"/>
  <c r="O45" i="1"/>
  <c r="O44" i="1"/>
  <c r="O43" i="1"/>
  <c r="O42" i="1"/>
  <c r="M48" i="1"/>
  <c r="M47" i="1"/>
  <c r="M46" i="1"/>
  <c r="M45" i="1"/>
  <c r="M44" i="1"/>
  <c r="M43" i="1"/>
  <c r="M42" i="1"/>
  <c r="K48" i="1"/>
  <c r="K47" i="1"/>
  <c r="K46" i="1"/>
  <c r="K45" i="1"/>
  <c r="K44" i="1"/>
  <c r="K43" i="1"/>
  <c r="K42" i="1"/>
  <c r="I48" i="1"/>
  <c r="I47" i="1"/>
  <c r="I46" i="1"/>
  <c r="I45" i="1"/>
  <c r="I44" i="1"/>
  <c r="I43" i="1"/>
  <c r="I42" i="1"/>
  <c r="Q35" i="1"/>
  <c r="Q34" i="1"/>
  <c r="Q33" i="1"/>
  <c r="Q32" i="1"/>
  <c r="Q31" i="1"/>
  <c r="Q30" i="1"/>
  <c r="O35" i="1"/>
  <c r="O34" i="1"/>
  <c r="O33" i="1"/>
  <c r="O32" i="1"/>
  <c r="O31" i="1"/>
  <c r="O30" i="1"/>
  <c r="M35" i="1"/>
  <c r="M34" i="1"/>
  <c r="M33" i="1"/>
  <c r="M32" i="1"/>
  <c r="M31" i="1"/>
  <c r="M30" i="1"/>
  <c r="K35" i="1"/>
  <c r="K34" i="1"/>
  <c r="K33" i="1"/>
  <c r="K32" i="1"/>
  <c r="K31" i="1"/>
  <c r="K30" i="1"/>
  <c r="I35" i="1"/>
  <c r="I34" i="1"/>
  <c r="I33" i="1"/>
  <c r="I32" i="1"/>
  <c r="I31" i="1"/>
  <c r="I30" i="1"/>
  <c r="Q22" i="1"/>
  <c r="Q21" i="1"/>
  <c r="Q20" i="1"/>
  <c r="Q19" i="1"/>
  <c r="Q18" i="1"/>
  <c r="O22" i="1"/>
  <c r="O21" i="1"/>
  <c r="O20" i="1"/>
  <c r="O19" i="1"/>
  <c r="O18" i="1"/>
  <c r="M22" i="1"/>
  <c r="M21" i="1"/>
  <c r="M20" i="1"/>
  <c r="M19" i="1"/>
  <c r="M18" i="1"/>
  <c r="K22" i="1"/>
  <c r="K21" i="1"/>
  <c r="K18" i="1"/>
  <c r="K19" i="1"/>
  <c r="K20" i="1"/>
  <c r="I22" i="1"/>
  <c r="I21" i="1"/>
  <c r="I20" i="1"/>
  <c r="I19" i="1"/>
  <c r="I18" i="1"/>
  <c r="G48" i="1"/>
  <c r="S48" i="1" s="1"/>
  <c r="G35" i="1"/>
  <c r="G22" i="1"/>
  <c r="Q8" i="1"/>
  <c r="Q12" i="1"/>
  <c r="Q11" i="1"/>
  <c r="Q10" i="1"/>
  <c r="Q9" i="1"/>
  <c r="Q7" i="1"/>
  <c r="Q6" i="1"/>
  <c r="O12" i="1"/>
  <c r="M12" i="1"/>
  <c r="O11" i="1"/>
  <c r="O10" i="1"/>
  <c r="O9" i="1"/>
  <c r="O8" i="1"/>
  <c r="O7" i="1"/>
  <c r="O6" i="1"/>
  <c r="M11" i="1"/>
  <c r="M10" i="1"/>
  <c r="M9" i="1"/>
  <c r="M8" i="1"/>
  <c r="M7" i="1"/>
  <c r="M6" i="1"/>
  <c r="K12" i="1"/>
  <c r="K11" i="1"/>
  <c r="K10" i="1"/>
  <c r="K9" i="1"/>
  <c r="K8" i="1"/>
  <c r="K7" i="1"/>
  <c r="K6" i="1"/>
  <c r="I12" i="1"/>
  <c r="G12" i="1"/>
  <c r="I11" i="1"/>
  <c r="I10" i="1"/>
  <c r="I9" i="1"/>
  <c r="I8" i="1"/>
  <c r="I7" i="1"/>
  <c r="I6" i="1"/>
  <c r="S42" i="1" l="1"/>
  <c r="S43" i="1"/>
  <c r="S31" i="1"/>
  <c r="S18" i="1"/>
  <c r="S47" i="1"/>
  <c r="S21" i="1"/>
  <c r="S22" i="1"/>
  <c r="S34" i="1"/>
  <c r="S32" i="1"/>
  <c r="S45" i="1"/>
  <c r="S20" i="1"/>
  <c r="S6" i="1"/>
  <c r="S33" i="1"/>
  <c r="S44" i="1"/>
  <c r="S35" i="1"/>
  <c r="S19" i="1"/>
  <c r="S30" i="1"/>
  <c r="S46" i="1"/>
  <c r="S11" i="1"/>
  <c r="S10" i="1"/>
  <c r="S7" i="1"/>
  <c r="S8" i="1"/>
  <c r="S9" i="1"/>
</calcChain>
</file>

<file path=xl/sharedStrings.xml><?xml version="1.0" encoding="utf-8"?>
<sst xmlns="http://schemas.openxmlformats.org/spreadsheetml/2006/main" count="141" uniqueCount="51">
  <si>
    <t>log2(T)/log2(sec)</t>
    <phoneticPr fontId="1" type="noConversion"/>
  </si>
  <si>
    <t>slope</t>
    <phoneticPr fontId="1" type="noConversion"/>
  </si>
  <si>
    <t>（beta,J,t)</t>
    <phoneticPr fontId="1" type="noConversion"/>
  </si>
  <si>
    <t>sim</t>
    <phoneticPr fontId="1" type="noConversion"/>
  </si>
  <si>
    <t>enumbs</t>
    <phoneticPr fontId="1" type="noConversion"/>
  </si>
  <si>
    <t>(81,10,1)</t>
    <phoneticPr fontId="1" type="noConversion"/>
  </si>
  <si>
    <t>(102,11,1)</t>
    <phoneticPr fontId="1" type="noConversion"/>
  </si>
  <si>
    <t>(102,11,2)</t>
    <phoneticPr fontId="1" type="noConversion"/>
  </si>
  <si>
    <t>(56, 8, 1)</t>
    <phoneticPr fontId="1" type="noConversion"/>
  </si>
  <si>
    <t>(80, 10, 1)</t>
    <phoneticPr fontId="1" type="noConversion"/>
  </si>
  <si>
    <t>(81, 10, 1)</t>
    <phoneticPr fontId="1" type="noConversion"/>
  </si>
  <si>
    <t>(102, 11, 1)</t>
    <phoneticPr fontId="1" type="noConversion"/>
  </si>
  <si>
    <t>(114, 11, 1)</t>
    <phoneticPr fontId="1" type="noConversion"/>
  </si>
  <si>
    <t>(119, 11, 1)</t>
    <phoneticPr fontId="1" type="noConversion"/>
  </si>
  <si>
    <t>pump-{27,152,15}</t>
    <phoneticPr fontId="1" type="noConversion"/>
  </si>
  <si>
    <t>pump_{25, 154, 14} | 140: ↑123</t>
    <phoneticPr fontId="1" type="noConversion"/>
  </si>
  <si>
    <t>practical1</t>
    <phoneticPr fontId="1" type="noConversion"/>
  </si>
  <si>
    <t>practical-avg</t>
    <phoneticPr fontId="1" type="noConversion"/>
  </si>
  <si>
    <t>practical2</t>
    <phoneticPr fontId="1" type="noConversion"/>
  </si>
  <si>
    <t>practical3</t>
    <phoneticPr fontId="1" type="noConversion"/>
  </si>
  <si>
    <t>practical4</t>
    <phoneticPr fontId="1" type="noConversion"/>
  </si>
  <si>
    <t>practical5</t>
    <phoneticPr fontId="1" type="noConversion"/>
  </si>
  <si>
    <t>pump_{26, 153, 14}| 139: ↑125</t>
    <phoneticPr fontId="1" type="noConversion"/>
  </si>
  <si>
    <t>pump_{26, 153, 15}|138: ↑120</t>
    <phoneticPr fontId="1" type="noConversion"/>
  </si>
  <si>
    <t xml:space="preserve">pump_{26, 153, 14}| 139: ↑119 </t>
    <phoneticPr fontId="1" type="noConversion"/>
  </si>
  <si>
    <t xml:space="preserve">pump_{25, 154, 14}| 140: ↑123 </t>
    <phoneticPr fontId="1" type="noConversion"/>
  </si>
  <si>
    <t>(77,8,1)</t>
    <phoneticPr fontId="1" type="noConversion"/>
  </si>
  <si>
    <t>pump-{35,137,14}</t>
    <phoneticPr fontId="1" type="noConversion"/>
  </si>
  <si>
    <t>(70,8,1)</t>
    <phoneticPr fontId="1" type="noConversion"/>
  </si>
  <si>
    <t>(80,10,1)</t>
    <phoneticPr fontId="1" type="noConversion"/>
  </si>
  <si>
    <t>(103,11,1)</t>
    <phoneticPr fontId="1" type="noConversion"/>
  </si>
  <si>
    <t>pump-{45,140,14}</t>
    <phoneticPr fontId="1" type="noConversion"/>
  </si>
  <si>
    <t>(56,8,1)</t>
    <phoneticPr fontId="1" type="noConversion"/>
  </si>
  <si>
    <t>(66,9,1)</t>
    <phoneticPr fontId="1" type="noConversion"/>
  </si>
  <si>
    <t>{56,138,14}</t>
    <phoneticPr fontId="1" type="noConversion"/>
  </si>
  <si>
    <t>pump_{34, 138, 13}|125: ↑103</t>
    <phoneticPr fontId="1" type="noConversion"/>
  </si>
  <si>
    <t xml:space="preserve">pump_{34, 138, 13}| 125: ↑109 </t>
    <phoneticPr fontId="1" type="noConversion"/>
  </si>
  <si>
    <t>pump_{33, 139, 13}| 126: ↑113</t>
    <phoneticPr fontId="1" type="noConversion"/>
  </si>
  <si>
    <t>pump_{34, 138, 13}|125: ↑105</t>
    <phoneticPr fontId="1" type="noConversion"/>
  </si>
  <si>
    <t>pump_{34, 138, 13}|125: ↑102</t>
    <phoneticPr fontId="1" type="noConversion"/>
  </si>
  <si>
    <t>pump_{43, 142, 14}|128: ↑108</t>
    <phoneticPr fontId="1" type="noConversion"/>
  </si>
  <si>
    <t>pump_{43, 142, 14}|128: ↑109</t>
    <phoneticPr fontId="1" type="noConversion"/>
  </si>
  <si>
    <t>pump_{43, 142, 13}|129: ↑104</t>
    <phoneticPr fontId="1" type="noConversion"/>
  </si>
  <si>
    <t xml:space="preserve">pump_{43, 142, 13}|129: ↑ 98 </t>
    <phoneticPr fontId="1" type="noConversion"/>
  </si>
  <si>
    <t xml:space="preserve">pump_{43, 142, 13}|129: ↑112 </t>
    <phoneticPr fontId="1" type="noConversion"/>
  </si>
  <si>
    <t>pump_{54, 140, 13}|127: ↑109</t>
    <phoneticPr fontId="1" type="noConversion"/>
  </si>
  <si>
    <t>pump_{54, 140, 13}|127: ↑115</t>
    <phoneticPr fontId="1" type="noConversion"/>
  </si>
  <si>
    <t xml:space="preserve">pump_{54, 140, 13}|127: ↑113 </t>
    <phoneticPr fontId="1" type="noConversion"/>
  </si>
  <si>
    <t>pump_{54, 140, 13}|127: ↑107</t>
    <phoneticPr fontId="1" type="noConversion"/>
  </si>
  <si>
    <t>pump_{54, 140, 13}| 127: ↑111</t>
    <phoneticPr fontId="1" type="noConversion"/>
  </si>
  <si>
    <t>slope*2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</si>
</sst>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0_ "/>
    <numFmt numFmtId="178" formatCode="0.00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78" fontId="2" fillId="3" borderId="5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082F-968D-F041-91F1-A59C77207CA8}">
  <dimension ref="B3:S48"/>
  <sheetViews>
    <sheetView tabSelected="1" zoomScale="72" zoomScaleNormal="72" workbookViewId="0">
      <pane xSplit="7" topLeftCell="Q1" activePane="topRight" state="frozen"/>
      <selection pane="topRight" activeCell="F7" sqref="F7"/>
    </sheetView>
  </sheetViews>
  <sheetFormatPr baseColWidth="10" defaultRowHeight="15"/>
  <cols>
    <col min="1" max="3" width="10.83203125" style="1"/>
    <col min="4" max="4" width="25.5" style="1" customWidth="1"/>
    <col min="5" max="6" width="15.1640625" style="1" customWidth="1"/>
    <col min="7" max="7" width="17.5" style="1" customWidth="1"/>
    <col min="8" max="8" width="28" style="1" customWidth="1"/>
    <col min="9" max="9" width="20.1640625" style="1" customWidth="1"/>
    <col min="10" max="10" width="33" style="1" customWidth="1"/>
    <col min="11" max="11" width="18.33203125" style="1" customWidth="1"/>
    <col min="12" max="12" width="30.5" style="1" customWidth="1"/>
    <col min="13" max="13" width="18.83203125" style="1" customWidth="1"/>
    <col min="14" max="14" width="26" style="1" customWidth="1"/>
    <col min="15" max="15" width="15.6640625" style="1" customWidth="1"/>
    <col min="16" max="16" width="28.33203125" style="1" customWidth="1"/>
    <col min="17" max="17" width="20.6640625" style="1" customWidth="1"/>
    <col min="18" max="18" width="10.83203125" style="1"/>
    <col min="19" max="19" width="18.83203125" style="1" customWidth="1"/>
    <col min="20" max="20" width="21.1640625" style="1" customWidth="1"/>
    <col min="21" max="16384" width="10.83203125" style="1"/>
  </cols>
  <sheetData>
    <row r="3" spans="2:19" ht="15" customHeight="1">
      <c r="B3" s="12">
        <v>40</v>
      </c>
      <c r="C3" s="12">
        <v>0.03</v>
      </c>
      <c r="D3" s="17" t="s">
        <v>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2:19">
      <c r="B4" s="13"/>
      <c r="C4" s="13"/>
      <c r="D4" s="6"/>
      <c r="E4" s="15" t="s">
        <v>3</v>
      </c>
      <c r="F4" s="15"/>
      <c r="G4" s="15"/>
      <c r="H4" s="16" t="s">
        <v>16</v>
      </c>
      <c r="I4" s="16"/>
      <c r="J4" s="16" t="s">
        <v>18</v>
      </c>
      <c r="K4" s="16"/>
      <c r="L4" s="16" t="s">
        <v>19</v>
      </c>
      <c r="M4" s="16"/>
      <c r="N4" s="16" t="s">
        <v>20</v>
      </c>
      <c r="O4" s="16"/>
      <c r="P4" s="16" t="s">
        <v>21</v>
      </c>
      <c r="Q4" s="16"/>
      <c r="R4" s="15" t="s">
        <v>17</v>
      </c>
      <c r="S4" s="15"/>
    </row>
    <row r="5" spans="2:19">
      <c r="B5" s="13"/>
      <c r="C5" s="13"/>
      <c r="D5" s="4" t="s">
        <v>2</v>
      </c>
      <c r="E5" s="8" t="s">
        <v>50</v>
      </c>
      <c r="F5" s="8" t="s">
        <v>1</v>
      </c>
      <c r="G5" s="8" t="s">
        <v>0</v>
      </c>
      <c r="H5" s="4" t="s">
        <v>50</v>
      </c>
      <c r="I5" s="4" t="s">
        <v>0</v>
      </c>
      <c r="J5" s="4" t="s">
        <v>50</v>
      </c>
      <c r="K5" s="4" t="s">
        <v>0</v>
      </c>
      <c r="L5" s="4" t="s">
        <v>50</v>
      </c>
      <c r="M5" s="4" t="s">
        <v>0</v>
      </c>
      <c r="N5" s="4" t="s">
        <v>50</v>
      </c>
      <c r="O5" s="4" t="s">
        <v>0</v>
      </c>
      <c r="P5" s="4" t="s">
        <v>50</v>
      </c>
      <c r="Q5" s="4" t="s">
        <v>0</v>
      </c>
      <c r="R5" s="8" t="s">
        <v>1</v>
      </c>
      <c r="S5" s="8" t="s">
        <v>0</v>
      </c>
    </row>
    <row r="6" spans="2:19">
      <c r="B6" s="13"/>
      <c r="C6" s="13"/>
      <c r="D6" s="4" t="s">
        <v>8</v>
      </c>
      <c r="E6" s="9">
        <v>-5.6927999999999999E-2</v>
      </c>
      <c r="F6" s="9">
        <f>E6/2</f>
        <v>-2.8464E-2</v>
      </c>
      <c r="G6" s="10">
        <v>5.9773100000000001</v>
      </c>
      <c r="H6" s="5">
        <v>-5.4519999999999999E-2</v>
      </c>
      <c r="I6" s="2">
        <f>LOG(77.279,2)</f>
        <v>6.2720045205261741</v>
      </c>
      <c r="J6" s="5">
        <v>-5.5199999999999999E-2</v>
      </c>
      <c r="K6" s="2">
        <f>LOG(77.14,2)</f>
        <v>6.2694072408540373</v>
      </c>
      <c r="L6" s="5">
        <v>-5.5210000000000002E-2</v>
      </c>
      <c r="M6" s="2">
        <f>LOG(72.972,2)</f>
        <v>6.1892710902471242</v>
      </c>
      <c r="N6" s="5">
        <v>-5.5079999999999997E-2</v>
      </c>
      <c r="O6" s="2">
        <f>LOG(74.173,2)</f>
        <v>6.2128222163032891</v>
      </c>
      <c r="P6" s="5">
        <v>-5.5160000000000001E-2</v>
      </c>
      <c r="Q6" s="2">
        <f>LOG(73.428,2)</f>
        <v>6.1982583998938265</v>
      </c>
      <c r="R6" s="9">
        <f>AVERAGE(H6,J6,L6,N6,P6)/2</f>
        <v>-0.027516999999999996</v>
      </c>
      <c r="S6" s="10">
        <f>AVERAGE(I6,K6,M6,O6,Q6)</f>
        <v>6.22835269356489</v>
      </c>
    </row>
    <row r="7" spans="2:19">
      <c r="B7" s="13"/>
      <c r="C7" s="13"/>
      <c r="D7" s="4" t="s">
        <v>9</v>
      </c>
      <c r="E7" s="9">
        <v>-5.0095000000000001E-2</v>
      </c>
      <c r="F7" s="9">
        <f>ROUND(E7/2,4)</f>
        <v>-2.5000000000000001E-2</v>
      </c>
      <c r="G7" s="10">
        <v>6.2621855000000002</v>
      </c>
      <c r="H7" s="5">
        <v>-4.8460000000000003E-2</v>
      </c>
      <c r="I7" s="2">
        <f>LOG(95.148,2)</f>
        <v>6.5721014264217956</v>
      </c>
      <c r="J7" s="5">
        <v>-4.8750000000000002E-2</v>
      </c>
      <c r="K7" s="2">
        <f>LOG(91.938,2)</f>
        <v>6.5225893772976198</v>
      </c>
      <c r="L7" s="5">
        <v>-4.888E-2</v>
      </c>
      <c r="M7" s="2">
        <f>LOG(90.556,2)</f>
        <v>6.5007383283706082</v>
      </c>
      <c r="N7" s="5">
        <v>-4.87E-2</v>
      </c>
      <c r="O7" s="2">
        <f>LOG(92.051,2)</f>
        <v>6.5243614893273403</v>
      </c>
      <c r="P7" s="5">
        <v>-4.8730000000000002E-2</v>
      </c>
      <c r="Q7" s="2">
        <f>LOG(92.213,2)</f>
        <v>6.5268982480739304</v>
      </c>
      <c r="R7" s="9">
        <f t="shared" ref="R7:R11" si="0">AVERAGE(H7,J7,L7,N7,P7)/2</f>
        <v>-0.024352</v>
      </c>
      <c r="S7" s="10">
        <f t="shared" ref="S7:S11" si="1">AVERAGE(I7,K7,M7,O7,Q7)</f>
        <v>6.52933777389826</v>
      </c>
    </row>
    <row r="8" spans="2:19">
      <c r="B8" s="13"/>
      <c r="C8" s="13"/>
      <c r="D8" s="4" t="s">
        <v>10</v>
      </c>
      <c r="E8" s="9">
        <v>-4.6370000000000001E-2</v>
      </c>
      <c r="F8" s="9">
        <f>E8/2</f>
        <v>-2.3185000000000001E-2</v>
      </c>
      <c r="G8" s="10">
        <v>6.3151599000000003</v>
      </c>
      <c r="H8" s="5">
        <v>-4.6309999999999997E-2</v>
      </c>
      <c r="I8" s="2">
        <f>LOG(99.854,2)</f>
        <v>6.6417483158923911</v>
      </c>
      <c r="J8" s="5">
        <v>-4.6149999999999997E-2</v>
      </c>
      <c r="K8" s="2">
        <f>LOG(96.795,2)</f>
        <v>6.5968606210906495</v>
      </c>
      <c r="L8" s="5">
        <v>-4.6089999999999999E-2</v>
      </c>
      <c r="M8" s="2">
        <f>LOG(99.116,2)</f>
        <v>6.6310460610522481</v>
      </c>
      <c r="N8" s="5">
        <v>-4.6249999999999999E-2</v>
      </c>
      <c r="O8" s="2">
        <f>LOG(96.949,2)</f>
        <v>6.59915411232741</v>
      </c>
      <c r="P8" s="5">
        <v>-4.6019999999999998E-2</v>
      </c>
      <c r="Q8" s="2">
        <f>LOG(94.635,2)</f>
        <v>6.5643019463993681</v>
      </c>
      <c r="R8" s="9">
        <f t="shared" si="0"/>
        <v>-0.023082</v>
      </c>
      <c r="S8" s="10">
        <f t="shared" si="1"/>
        <v>6.606622211352414</v>
      </c>
    </row>
    <row r="9" spans="2:19">
      <c r="B9" s="13"/>
      <c r="C9" s="13"/>
      <c r="D9" s="4" t="s">
        <v>11</v>
      </c>
      <c r="E9" s="9">
        <v>-4.2054000000000001E-2</v>
      </c>
      <c r="F9" s="9">
        <f>E9/2</f>
        <v>-2.1027000000000001E-2</v>
      </c>
      <c r="G9" s="10">
        <v>7.5093050999999997</v>
      </c>
      <c r="H9" s="5">
        <v>-4.2560000000000001E-2</v>
      </c>
      <c r="I9" s="2">
        <f>LOG(232.764,2)</f>
        <v>7.8627241335980909</v>
      </c>
      <c r="J9" s="5">
        <v>-4.24E-2</v>
      </c>
      <c r="K9" s="2">
        <f>LOG(233.786,2)</f>
        <v>7.8690447281330922</v>
      </c>
      <c r="L9" s="5">
        <v>-4.2299999999999997E-2</v>
      </c>
      <c r="M9" s="2">
        <f>LOG(228.036,2)</f>
        <v>7.8331177901367264</v>
      </c>
      <c r="N9" s="5">
        <v>-4.231E-2</v>
      </c>
      <c r="O9" s="2">
        <f>LOG(226.823,2)</f>
        <v>7.8254231276895494</v>
      </c>
      <c r="P9" s="5">
        <v>-4.2299999999999997E-2</v>
      </c>
      <c r="Q9" s="2">
        <f>LOG(224.563,2)</f>
        <v>7.8109764322335806</v>
      </c>
      <c r="R9" s="9">
        <f t="shared" si="0"/>
        <v>-0.021187</v>
      </c>
      <c r="S9" s="10">
        <f t="shared" si="1"/>
        <v>7.840257242358208</v>
      </c>
    </row>
    <row r="10" spans="2:19">
      <c r="B10" s="13"/>
      <c r="C10" s="13"/>
      <c r="D10" s="4" t="s">
        <v>12</v>
      </c>
      <c r="E10" s="9">
        <v>-3.9216000000000001E-2</v>
      </c>
      <c r="F10" s="9">
        <f>E10/2</f>
        <v>-1.9608E-2</v>
      </c>
      <c r="G10" s="10">
        <v>9.1309035999999999</v>
      </c>
      <c r="H10" s="5">
        <v>-3.9730000000000001E-2</v>
      </c>
      <c r="I10" s="2">
        <f>LOG(585.631,2)</f>
        <v>9.1938481135512919</v>
      </c>
      <c r="J10" s="5">
        <v>-3.9620000000000002E-2</v>
      </c>
      <c r="K10" s="2">
        <f>LOG(605.564,2)</f>
        <v>9.2421356312852314</v>
      </c>
      <c r="L10" s="5">
        <v>-3.9480000000000001E-2</v>
      </c>
      <c r="M10" s="2">
        <f>LOG(602.134,2)</f>
        <v>9.2339407724787446</v>
      </c>
      <c r="N10" s="5">
        <v>-3.9579999999999997E-2</v>
      </c>
      <c r="O10" s="2">
        <f>LOG(587.538,2)</f>
        <v>9.1985383531777245</v>
      </c>
      <c r="P10" s="5">
        <v>-3.9739999999999998E-2</v>
      </c>
      <c r="Q10" s="2">
        <f>LOG(583.69,2)</f>
        <v>9.1890585414041759</v>
      </c>
      <c r="R10" s="9">
        <f t="shared" si="0"/>
        <v>-0.019815</v>
      </c>
      <c r="S10" s="10">
        <f t="shared" si="1"/>
        <v>9.211504282379433</v>
      </c>
    </row>
    <row r="11" spans="2:19">
      <c r="B11" s="13"/>
      <c r="C11" s="13"/>
      <c r="D11" s="4" t="s">
        <v>13</v>
      </c>
      <c r="E11" s="11">
        <v>-3.8011000000000003E-2</v>
      </c>
      <c r="F11" s="9">
        <f>E11/2</f>
        <v>-1.9005500000000002E-2</v>
      </c>
      <c r="G11" s="10">
        <v>9.9733058000000003</v>
      </c>
      <c r="H11" s="3">
        <v>-3.8530000000000002E-2</v>
      </c>
      <c r="I11" s="2">
        <f>LOG(1114.77,2)</f>
        <v>10.122530367823197</v>
      </c>
      <c r="J11" s="3">
        <v>-3.848E-2</v>
      </c>
      <c r="K11" s="2">
        <f>LOG(1125.469,2)</f>
        <v>10.136310604304271</v>
      </c>
      <c r="L11" s="3">
        <v>-3.8370000000000001E-2</v>
      </c>
      <c r="M11" s="2">
        <f>LOG(1145.281,2)</f>
        <v>10.161485898328733</v>
      </c>
      <c r="N11" s="3">
        <v>-3.8190000000000002E-2</v>
      </c>
      <c r="O11" s="2">
        <f>LOG(1158.408,2)</f>
        <v>10.177927755524982</v>
      </c>
      <c r="P11" s="3">
        <v>-3.8390000000000001E-2</v>
      </c>
      <c r="Q11" s="2">
        <f>LOG(1120.964,2)</f>
        <v>10.130524231087811</v>
      </c>
      <c r="R11" s="9">
        <f t="shared" si="0"/>
        <v>-0.019195999999999998</v>
      </c>
      <c r="S11" s="10">
        <f t="shared" si="1"/>
        <v>10.1457557714138</v>
      </c>
    </row>
    <row r="12" spans="2:19">
      <c r="B12" s="14"/>
      <c r="C12" s="14"/>
      <c r="D12" s="6"/>
      <c r="E12" s="7" t="s">
        <v>14</v>
      </c>
      <c r="F12" s="9"/>
      <c r="G12" s="7">
        <f>LOG(6508.5379582,2)</f>
        <v>12.668117785450045</v>
      </c>
      <c r="H12" s="6" t="s">
        <v>15</v>
      </c>
      <c r="I12" s="6">
        <f>LOG(2875.235,2)</f>
        <v>11.48946416053796</v>
      </c>
      <c r="J12" s="6" t="s">
        <v>22</v>
      </c>
      <c r="K12" s="6">
        <f>LOG(4472.119,2)</f>
        <v>12.126742862473266</v>
      </c>
      <c r="L12" s="6" t="s">
        <v>24</v>
      </c>
      <c r="M12" s="6">
        <f>LOG(1277.713,2)</f>
        <v>10.319348099056841</v>
      </c>
      <c r="N12" s="6" t="s">
        <v>23</v>
      </c>
      <c r="O12" s="6">
        <f>LOG(1483.319,2)</f>
        <v>10.534613179303902</v>
      </c>
      <c r="P12" s="6" t="s">
        <v>25</v>
      </c>
      <c r="Q12" s="6">
        <f>LOG(2646.429,2)</f>
        <v>11.369831233657759</v>
      </c>
      <c r="R12" s="7"/>
      <c r="S12" s="7"/>
    </row>
    <row r="15" spans="2:19" ht="15" customHeight="1">
      <c r="B15" s="12">
        <v>40</v>
      </c>
      <c r="C15" s="12">
        <v>2.5000000000000001E-2</v>
      </c>
      <c r="D15" s="17" t="s">
        <v>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2:19">
      <c r="B16" s="13"/>
      <c r="C16" s="13"/>
      <c r="D16" s="6"/>
      <c r="E16" s="15" t="s">
        <v>3</v>
      </c>
      <c r="F16" s="15"/>
      <c r="G16" s="15"/>
      <c r="H16" s="16" t="s">
        <v>16</v>
      </c>
      <c r="I16" s="16"/>
      <c r="J16" s="16" t="s">
        <v>18</v>
      </c>
      <c r="K16" s="16"/>
      <c r="L16" s="16" t="s">
        <v>19</v>
      </c>
      <c r="M16" s="16"/>
      <c r="N16" s="16" t="s">
        <v>20</v>
      </c>
      <c r="O16" s="16"/>
      <c r="P16" s="16" t="s">
        <v>21</v>
      </c>
      <c r="Q16" s="16"/>
      <c r="R16" s="15" t="s">
        <v>17</v>
      </c>
      <c r="S16" s="15"/>
    </row>
    <row r="17" spans="2:19">
      <c r="B17" s="13"/>
      <c r="C17" s="13"/>
      <c r="D17" s="4" t="s">
        <v>2</v>
      </c>
      <c r="E17" s="8" t="s">
        <v>50</v>
      </c>
      <c r="F17" s="8" t="s">
        <v>1</v>
      </c>
      <c r="G17" s="8" t="s">
        <v>0</v>
      </c>
      <c r="H17" s="4" t="s">
        <v>50</v>
      </c>
      <c r="I17" s="4" t="s">
        <v>0</v>
      </c>
      <c r="J17" s="4" t="s">
        <v>50</v>
      </c>
      <c r="K17" s="4" t="s">
        <v>0</v>
      </c>
      <c r="L17" s="4" t="s">
        <v>50</v>
      </c>
      <c r="M17" s="4" t="s">
        <v>0</v>
      </c>
      <c r="N17" s="4" t="s">
        <v>50</v>
      </c>
      <c r="O17" s="4" t="s">
        <v>0</v>
      </c>
      <c r="P17" s="4" t="s">
        <v>50</v>
      </c>
      <c r="Q17" s="4" t="s">
        <v>0</v>
      </c>
      <c r="R17" s="8" t="s">
        <v>1</v>
      </c>
      <c r="S17" s="8" t="s">
        <v>0</v>
      </c>
    </row>
    <row r="18" spans="2:19">
      <c r="B18" s="13"/>
      <c r="C18" s="13"/>
      <c r="D18" s="4" t="s">
        <v>26</v>
      </c>
      <c r="E18" s="9">
        <v>-5.6217999999999997E-2</v>
      </c>
      <c r="F18" s="9">
        <f>E18/2</f>
        <v>-2.8108999999999999E-2</v>
      </c>
      <c r="G18" s="10">
        <v>6.4596546999999997</v>
      </c>
      <c r="H18" s="5">
        <v>-5.2429999999999997E-2</v>
      </c>
      <c r="I18" s="2">
        <f>LOG(101.49,2)</f>
        <v>6.6651937727404196</v>
      </c>
      <c r="J18" s="5">
        <v>-5.2499999999999998E-2</v>
      </c>
      <c r="K18" s="2">
        <f>LOG(104.802,2)</f>
        <v>6.7115224387354866</v>
      </c>
      <c r="L18" s="5">
        <v>-5.2609999999999997E-2</v>
      </c>
      <c r="M18" s="2">
        <f>LOG(102.064,2)</f>
        <v>6.6733302785173265</v>
      </c>
      <c r="N18" s="5">
        <v>-5.2170000000000001E-2</v>
      </c>
      <c r="O18" s="2">
        <f>LOG(103.345,2)</f>
        <v>6.6913247802826286</v>
      </c>
      <c r="P18" s="5">
        <v>-5.2600000000000001E-2</v>
      </c>
      <c r="Q18" s="2">
        <f>LOG(102.749,2)</f>
        <v>6.6829805427857085</v>
      </c>
      <c r="R18" s="9">
        <f>AVERAGE(H18,J18,L18,N18,P18)/2</f>
        <v>-0.026230999999999997</v>
      </c>
      <c r="S18" s="10">
        <f>AVERAGE(I18,K18,M18,O18,Q18)</f>
        <v>6.684870362612314</v>
      </c>
    </row>
    <row r="19" spans="2:19">
      <c r="B19" s="13"/>
      <c r="C19" s="13"/>
      <c r="D19" s="4" t="s">
        <v>5</v>
      </c>
      <c r="E19" s="9">
        <v>-4.9716000000000003E-2</v>
      </c>
      <c r="F19" s="9">
        <f>E19/2</f>
        <v>-2.4858000000000002E-2</v>
      </c>
      <c r="G19" s="10">
        <v>6.1793678999999999</v>
      </c>
      <c r="H19" s="5">
        <v>-4.7780000000000003E-2</v>
      </c>
      <c r="I19" s="2">
        <f>LOG(89.203,2)</f>
        <v>6.4790203253506844</v>
      </c>
      <c r="J19" s="5">
        <v>-4.7739999999999998E-2</v>
      </c>
      <c r="K19" s="2">
        <f>LOG(91.341,2)</f>
        <v>6.51319067929537</v>
      </c>
      <c r="L19" s="5">
        <v>-4.793E-2</v>
      </c>
      <c r="M19" s="2">
        <f>LOG(87.497,2)</f>
        <v>6.4511616471543851</v>
      </c>
      <c r="N19" s="5">
        <v>-4.7539999999999999E-2</v>
      </c>
      <c r="O19" s="2">
        <f>LOG(88.035,2)</f>
        <v>6.4600053037237455</v>
      </c>
      <c r="P19" s="5">
        <v>-4.7980000000000002E-2</v>
      </c>
      <c r="Q19" s="2">
        <f>LOG(88.099,2)</f>
        <v>6.4610537382869815</v>
      </c>
      <c r="R19" s="9">
        <f>AVERAGE(H19,J19,L19,N19,P19)/2</f>
        <v>-0.023896999999999998</v>
      </c>
      <c r="S19" s="10">
        <f t="shared" ref="S19:S20" si="2">AVERAGE(I19,K19,M19,O19,Q19)</f>
        <v>6.472886338762234</v>
      </c>
    </row>
    <row r="20" spans="2:19">
      <c r="B20" s="13"/>
      <c r="C20" s="13"/>
      <c r="D20" s="4" t="s">
        <v>6</v>
      </c>
      <c r="E20" s="9">
        <v>-4.3326999999999997E-2</v>
      </c>
      <c r="F20" s="9">
        <f>E20/2</f>
        <v>-2.1663499999999999E-2</v>
      </c>
      <c r="G20" s="10">
        <v>7.5016353999999996</v>
      </c>
      <c r="H20" s="5">
        <v>-4.2790000000000002E-2</v>
      </c>
      <c r="I20" s="2">
        <f>LOG(232.096,2)</f>
        <v>7.8585778489073972</v>
      </c>
      <c r="J20" s="5">
        <v>-4.2810000000000001E-2</v>
      </c>
      <c r="K20" s="2">
        <f>LOG(231.675,2)</f>
        <v>7.8559585614614322</v>
      </c>
      <c r="L20" s="5">
        <v>-4.2860000000000002E-2</v>
      </c>
      <c r="M20" s="2">
        <f>LOG(228.86,2)</f>
        <v>7.8383215214127215</v>
      </c>
      <c r="N20" s="5">
        <v>-4.2709999999999998E-2</v>
      </c>
      <c r="O20" s="2">
        <f>LOG(227.42,2)</f>
        <v>7.8292153245327274</v>
      </c>
      <c r="P20" s="5">
        <v>-4.2950000000000002E-2</v>
      </c>
      <c r="Q20" s="2">
        <f>LOG(229.272,2)</f>
        <v>7.8409163653314327</v>
      </c>
      <c r="R20" s="9">
        <f>AVERAGE(H20,J20,L20,N20,P20)/2</f>
        <v>-0.021412000000000004</v>
      </c>
      <c r="S20" s="10">
        <f t="shared" si="2"/>
        <v>7.8445979243291415</v>
      </c>
    </row>
    <row r="21" spans="2:19">
      <c r="B21" s="13"/>
      <c r="C21" s="13"/>
      <c r="D21" s="4" t="s">
        <v>7</v>
      </c>
      <c r="E21" s="9">
        <v>-4.1096000000000001E-2</v>
      </c>
      <c r="F21" s="9">
        <f>E21/2</f>
        <v>-2.0548E-2</v>
      </c>
      <c r="G21" s="10">
        <v>7.5016353999999996</v>
      </c>
      <c r="H21" s="5">
        <v>-4.1360000000000001E-2</v>
      </c>
      <c r="I21" s="2">
        <f>LOG(234.917,2)</f>
        <v>7.8760073089496805</v>
      </c>
      <c r="J21" s="5">
        <v>-4.156E-2</v>
      </c>
      <c r="K21" s="2">
        <f>LOG(237.381,2)</f>
        <v>7.8910606559139991</v>
      </c>
      <c r="L21" s="5">
        <v>-4.1570000000000003E-2</v>
      </c>
      <c r="M21" s="2">
        <f>LOG(230.345,2)</f>
        <v>7.8476524720949969</v>
      </c>
      <c r="N21" s="5">
        <v>-4.1599999999999998E-2</v>
      </c>
      <c r="O21" s="2">
        <f>LOG(228.996,2)</f>
        <v>7.8391785879634766</v>
      </c>
      <c r="P21" s="5">
        <v>-4.1459999999999997E-2</v>
      </c>
      <c r="Q21" s="2">
        <f>LOG(228.943,2)</f>
        <v>7.8388446446325588</v>
      </c>
      <c r="R21" s="9">
        <f>AVERAGE(H21,J21,L21,N21,P21)/2</f>
        <v>-0.020755</v>
      </c>
      <c r="S21" s="10">
        <f>AVERAGE(I21,K21,M21,O21,Q21)</f>
        <v>7.858548733910942</v>
      </c>
    </row>
    <row r="22" spans="2:19">
      <c r="B22" s="13"/>
      <c r="C22" s="13"/>
      <c r="D22" s="4" t="s">
        <v>27</v>
      </c>
      <c r="E22" s="9"/>
      <c r="F22" s="9"/>
      <c r="G22" s="10">
        <f>LOG(462.8002009,2)</f>
        <v>8.8542456804892957</v>
      </c>
      <c r="H22" s="5" t="s">
        <v>35</v>
      </c>
      <c r="I22" s="2">
        <f>LOG(78.444,2)</f>
        <v>6.2935911978961334</v>
      </c>
      <c r="J22" s="5" t="s">
        <v>36</v>
      </c>
      <c r="K22" s="2">
        <f>LOG(213.618,2)</f>
        <v>7.7388894071027137</v>
      </c>
      <c r="L22" s="5" t="s">
        <v>37</v>
      </c>
      <c r="M22" s="2">
        <f>LOG(418.414,2)</f>
        <v>8.7087873142865959</v>
      </c>
      <c r="N22" s="5" t="s">
        <v>38</v>
      </c>
      <c r="O22" s="2">
        <f>LOG(116.863,2)</f>
        <v>6.8686744201926384</v>
      </c>
      <c r="P22" s="5" t="s">
        <v>39</v>
      </c>
      <c r="Q22" s="2">
        <f>LOG(69.492,2)</f>
        <v>6.1187749975488233</v>
      </c>
      <c r="R22" s="9"/>
      <c r="S22" s="10">
        <f>AVERAGE(G22,I22,K22,M22,O22,Q22)</f>
        <v>7.4304938362527011</v>
      </c>
    </row>
    <row r="23" spans="2:19">
      <c r="B23" s="13"/>
      <c r="C23" s="13"/>
      <c r="D23" s="4"/>
      <c r="E23" s="11"/>
      <c r="F23" s="11"/>
      <c r="G23" s="10"/>
      <c r="H23" s="3"/>
      <c r="I23" s="2"/>
      <c r="J23" s="3"/>
      <c r="K23" s="2"/>
      <c r="L23" s="3"/>
      <c r="M23" s="2"/>
      <c r="N23" s="3"/>
      <c r="O23" s="2"/>
      <c r="P23" s="3"/>
      <c r="Q23" s="2"/>
      <c r="R23" s="18"/>
      <c r="S23" s="10"/>
    </row>
    <row r="24" spans="2:19">
      <c r="B24" s="14"/>
      <c r="C24" s="14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7"/>
      <c r="S24" s="7"/>
    </row>
    <row r="27" spans="2:19" ht="15" customHeight="1">
      <c r="B27" s="12">
        <v>45</v>
      </c>
      <c r="C27" s="12">
        <v>0.02</v>
      </c>
      <c r="D27" s="17" t="s">
        <v>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2:19">
      <c r="B28" s="13"/>
      <c r="C28" s="13"/>
      <c r="D28" s="6"/>
      <c r="E28" s="15" t="s">
        <v>3</v>
      </c>
      <c r="F28" s="15"/>
      <c r="G28" s="15"/>
      <c r="H28" s="16" t="s">
        <v>16</v>
      </c>
      <c r="I28" s="16"/>
      <c r="J28" s="16" t="s">
        <v>18</v>
      </c>
      <c r="K28" s="16"/>
      <c r="L28" s="16" t="s">
        <v>19</v>
      </c>
      <c r="M28" s="16"/>
      <c r="N28" s="16" t="s">
        <v>20</v>
      </c>
      <c r="O28" s="16"/>
      <c r="P28" s="16" t="s">
        <v>21</v>
      </c>
      <c r="Q28" s="16"/>
      <c r="R28" s="15" t="s">
        <v>17</v>
      </c>
      <c r="S28" s="15"/>
    </row>
    <row r="29" spans="2:19">
      <c r="B29" s="13"/>
      <c r="C29" s="13"/>
      <c r="D29" s="4" t="s">
        <v>2</v>
      </c>
      <c r="E29" s="8" t="s">
        <v>50</v>
      </c>
      <c r="F29" s="8" t="s">
        <v>1</v>
      </c>
      <c r="G29" s="8" t="s">
        <v>0</v>
      </c>
      <c r="H29" s="4" t="s">
        <v>50</v>
      </c>
      <c r="I29" s="4" t="s">
        <v>0</v>
      </c>
      <c r="J29" s="4" t="s">
        <v>50</v>
      </c>
      <c r="K29" s="4" t="s">
        <v>0</v>
      </c>
      <c r="L29" s="4" t="s">
        <v>50</v>
      </c>
      <c r="M29" s="4" t="s">
        <v>0</v>
      </c>
      <c r="N29" s="4" t="s">
        <v>50</v>
      </c>
      <c r="O29" s="4" t="s">
        <v>0</v>
      </c>
      <c r="P29" s="4" t="s">
        <v>50</v>
      </c>
      <c r="Q29" s="4" t="s">
        <v>0</v>
      </c>
      <c r="R29" s="8" t="s">
        <v>1</v>
      </c>
      <c r="S29" s="8" t="s">
        <v>0</v>
      </c>
    </row>
    <row r="30" spans="2:19">
      <c r="B30" s="13"/>
      <c r="C30" s="13"/>
      <c r="D30" s="4" t="s">
        <v>28</v>
      </c>
      <c r="E30" s="9">
        <v>-5.7526000000000001E-2</v>
      </c>
      <c r="F30" s="9">
        <f>E30/2</f>
        <v>-2.8763E-2</v>
      </c>
      <c r="G30" s="10">
        <v>6.3952005999999999</v>
      </c>
      <c r="H30" s="5">
        <v>-5.5149999999999998E-2</v>
      </c>
      <c r="I30" s="2">
        <f>LOG(100.228,2)</f>
        <v>6.6471417903050494</v>
      </c>
      <c r="J30" s="5">
        <v>-5.4780000000000002E-2</v>
      </c>
      <c r="K30" s="2">
        <f>LOG(97.989,2)</f>
        <v>6.61454789986868</v>
      </c>
      <c r="L30" s="5">
        <v>-5.5210000000000002E-2</v>
      </c>
      <c r="M30" s="2">
        <f>LOG(98.898,2)</f>
        <v>6.6278694407528711</v>
      </c>
      <c r="N30" s="5">
        <v>-5.527E-2</v>
      </c>
      <c r="O30" s="2">
        <f>LOG(99.958,2)</f>
        <v>6.6432501305762095</v>
      </c>
      <c r="P30" s="5">
        <v>-5.518E-2</v>
      </c>
      <c r="Q30" s="2">
        <f>LOG(99.127,2)</f>
        <v>6.6312061640114042</v>
      </c>
      <c r="R30" s="9">
        <f>AVERAGE(H30,J30,L30,N30,P30)/2</f>
        <v>-0.027559</v>
      </c>
      <c r="S30" s="10">
        <f>AVERAGE(I30,K30,M30,O30,Q30)</f>
        <v>6.632803085102843</v>
      </c>
    </row>
    <row r="31" spans="2:19">
      <c r="B31" s="13"/>
      <c r="C31" s="13"/>
      <c r="D31" s="4" t="s">
        <v>29</v>
      </c>
      <c r="E31" s="9">
        <v>-5.1198E-2</v>
      </c>
      <c r="F31" s="9">
        <f>E31/2</f>
        <v>-2.5599E-2</v>
      </c>
      <c r="G31" s="10">
        <v>6.3879280999999999</v>
      </c>
      <c r="H31" s="5">
        <v>-4.9360000000000001E-2</v>
      </c>
      <c r="I31" s="2">
        <f>LOG(102.618,2)</f>
        <v>6.6811400029132866</v>
      </c>
      <c r="J31" s="5">
        <v>-4.9459999999999997E-2</v>
      </c>
      <c r="K31" s="2">
        <f>LOG(102.401,2)</f>
        <v>6.6780859938626032</v>
      </c>
      <c r="L31" s="5">
        <v>-4.9700000000000001E-2</v>
      </c>
      <c r="M31" s="2">
        <f>LOG(102.736,2)</f>
        <v>6.6827979987016493</v>
      </c>
      <c r="N31" s="5">
        <v>-4.9340000000000002E-2</v>
      </c>
      <c r="O31" s="2">
        <f>LOG(104.27,2)</f>
        <v>6.7041803229258283</v>
      </c>
      <c r="P31" s="5">
        <v>-4.9599999999999998E-2</v>
      </c>
      <c r="Q31" s="2">
        <f>LOG(104.334,2)</f>
        <v>6.7050655646806741</v>
      </c>
      <c r="R31" s="9">
        <f>AVERAGE(H31,J31,L31,N31,P31)/2</f>
        <v>-0.024745999999999997</v>
      </c>
      <c r="S31" s="10">
        <f t="shared" ref="S31:S34" si="3">AVERAGE(I31,K31,M31,O31,Q31)</f>
        <v>6.690253976616809</v>
      </c>
    </row>
    <row r="32" spans="2:19">
      <c r="B32" s="13"/>
      <c r="C32" s="13"/>
      <c r="D32" s="4" t="s">
        <v>6</v>
      </c>
      <c r="E32" s="9">
        <v>-4.4207999999999997E-2</v>
      </c>
      <c r="F32" s="9">
        <f>E32/2</f>
        <v>-2.2103999999999999E-2</v>
      </c>
      <c r="G32" s="10">
        <v>7.6594806000000002</v>
      </c>
      <c r="H32" s="5">
        <v>-4.3439999999999999E-2</v>
      </c>
      <c r="I32" s="2">
        <f>LOG(264.871,2)</f>
        <v>8.0491460854019472</v>
      </c>
      <c r="J32" s="5">
        <v>-4.3520000000000003E-2</v>
      </c>
      <c r="K32" s="2">
        <f>LOG(261.915,2)</f>
        <v>8.032954875679053</v>
      </c>
      <c r="L32" s="5">
        <v>-4.3499999999999997E-2</v>
      </c>
      <c r="M32" s="2">
        <f>LOG(261.261,2)</f>
        <v>8.0293479707437925</v>
      </c>
      <c r="N32" s="5">
        <v>-4.3380000000000002E-2</v>
      </c>
      <c r="O32" s="2">
        <f>LOG(261.202,2)</f>
        <v>8.0290221332863094</v>
      </c>
      <c r="P32" s="5">
        <v>-4.3709999999999999E-2</v>
      </c>
      <c r="Q32" s="2">
        <f>LOG(257.718,2)</f>
        <v>8.0096494937702616</v>
      </c>
      <c r="R32" s="9">
        <f>AVERAGE(H32,J32,L32,N32,P32)/2</f>
        <v>-0.021755000000000004</v>
      </c>
      <c r="S32" s="10">
        <f t="shared" si="3"/>
        <v>8.030024111776273</v>
      </c>
    </row>
    <row r="33" spans="2:19">
      <c r="B33" s="13"/>
      <c r="C33" s="13"/>
      <c r="D33" s="4" t="s">
        <v>7</v>
      </c>
      <c r="E33" s="9">
        <v>-4.1411000000000003E-2</v>
      </c>
      <c r="F33" s="9">
        <f>E33/2</f>
        <v>-2.0705500000000002E-2</v>
      </c>
      <c r="G33" s="10">
        <v>7.6594806000000002</v>
      </c>
      <c r="H33" s="5">
        <v>-4.1709999999999997E-2</v>
      </c>
      <c r="I33" s="2">
        <f>LOG(258.891,2)</f>
        <v>8.0162010025173629</v>
      </c>
      <c r="J33" s="5">
        <v>-4.1619999999999997E-2</v>
      </c>
      <c r="K33" s="2">
        <f>LOG(262.433,2)</f>
        <v>8.0358053348179865</v>
      </c>
      <c r="L33" s="5">
        <v>-4.1959999999999997E-2</v>
      </c>
      <c r="M33" s="2">
        <f>LOG(267.032,2)</f>
        <v>8.0608688285977159</v>
      </c>
      <c r="N33" s="5">
        <v>-4.172E-2</v>
      </c>
      <c r="O33" s="2">
        <f>LOG(265.057,2)</f>
        <v>8.0501588316188855</v>
      </c>
      <c r="P33" s="5">
        <v>-4.1739999999999999E-2</v>
      </c>
      <c r="Q33" s="2">
        <f>LOG(259.15,2)</f>
        <v>8.0176435834973372</v>
      </c>
      <c r="R33" s="9">
        <f>AVERAGE(H33,J33,L33,N33,P33)/2</f>
        <v>-0.020874999999999998</v>
      </c>
      <c r="S33" s="10">
        <f t="shared" si="3"/>
        <v>8.036135516209857</v>
      </c>
    </row>
    <row r="34" spans="2:19">
      <c r="B34" s="13"/>
      <c r="C34" s="13"/>
      <c r="D34" s="4" t="s">
        <v>30</v>
      </c>
      <c r="E34" s="9">
        <v>-4.0398000000000003E-2</v>
      </c>
      <c r="F34" s="9">
        <f>E34/2</f>
        <v>-2.0199000000000002E-2</v>
      </c>
      <c r="G34" s="10">
        <v>7.8148977000000004</v>
      </c>
      <c r="H34" s="5">
        <v>-4.088E-2</v>
      </c>
      <c r="I34" s="2">
        <f>LOG(272.193,2)</f>
        <v>8.0884861552384493</v>
      </c>
      <c r="J34" s="5">
        <v>-4.0910000000000002E-2</v>
      </c>
      <c r="K34" s="2">
        <f>LOG(276.592,2)</f>
        <v>8.1116156191220021</v>
      </c>
      <c r="L34" s="5">
        <v>-4.1119999999999997E-2</v>
      </c>
      <c r="M34" s="2">
        <f>LOG(276.913,2)</f>
        <v>8.1132889740512049</v>
      </c>
      <c r="N34" s="5">
        <v>-4.1189999999999997E-2</v>
      </c>
      <c r="O34" s="2">
        <f>LOG(284.27,2)</f>
        <v>8.1511180442072053</v>
      </c>
      <c r="P34" s="5">
        <v>-4.1209999999999997E-2</v>
      </c>
      <c r="Q34" s="2">
        <f>LOG(276.842,2)</f>
        <v>8.1129190221827283</v>
      </c>
      <c r="R34" s="9">
        <f>AVERAGE(H34,J34,L34,N34,P34)/2</f>
        <v>-0.020531</v>
      </c>
      <c r="S34" s="10">
        <f t="shared" si="3"/>
        <v>8.115485562960318</v>
      </c>
    </row>
    <row r="35" spans="2:19">
      <c r="B35" s="13"/>
      <c r="C35" s="13"/>
      <c r="D35" s="4" t="s">
        <v>31</v>
      </c>
      <c r="E35" s="11"/>
      <c r="F35" s="9"/>
      <c r="G35" s="10">
        <f>LOG(811.0012164,2)</f>
        <v>9.663560268080321</v>
      </c>
      <c r="H35" s="3" t="s">
        <v>40</v>
      </c>
      <c r="I35" s="2">
        <f>LOG(170.399,2)</f>
        <v>7.41277305879344</v>
      </c>
      <c r="J35" s="3" t="s">
        <v>41</v>
      </c>
      <c r="K35" s="2">
        <f>LOG(213.782,2)</f>
        <v>7.7399965760232474</v>
      </c>
      <c r="L35" s="3" t="s">
        <v>42</v>
      </c>
      <c r="M35" s="2">
        <f>LOG(94.362,2)</f>
        <v>6.5601340916705837</v>
      </c>
      <c r="N35" s="3" t="s">
        <v>43</v>
      </c>
      <c r="O35" s="2">
        <f>LOG(38.787,2)</f>
        <v>5.2775012890991118</v>
      </c>
      <c r="P35" s="3" t="s">
        <v>44</v>
      </c>
      <c r="Q35" s="2">
        <f>LOG(360.294,2)</f>
        <v>8.4930308164427846</v>
      </c>
      <c r="R35" s="9"/>
      <c r="S35" s="10">
        <f>AVERAGE(G35,I35,K35,M35,O35,Q35)</f>
        <v>7.5244993500182487</v>
      </c>
    </row>
    <row r="36" spans="2:19">
      <c r="B36" s="14"/>
      <c r="C36" s="14"/>
      <c r="D36" s="6"/>
      <c r="E36" s="7"/>
      <c r="F36" s="9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  <c r="S36" s="7"/>
    </row>
    <row r="39" spans="2:19" ht="15" customHeight="1">
      <c r="B39" s="12">
        <v>50</v>
      </c>
      <c r="C39" s="12">
        <v>1.4999999999999999E-2</v>
      </c>
      <c r="D39" s="17" t="s">
        <v>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2:19">
      <c r="B40" s="13"/>
      <c r="C40" s="13"/>
      <c r="D40" s="6"/>
      <c r="E40" s="15" t="s">
        <v>3</v>
      </c>
      <c r="F40" s="15"/>
      <c r="G40" s="15"/>
      <c r="H40" s="16" t="s">
        <v>16</v>
      </c>
      <c r="I40" s="16"/>
      <c r="J40" s="16" t="s">
        <v>18</v>
      </c>
      <c r="K40" s="16"/>
      <c r="L40" s="16" t="s">
        <v>19</v>
      </c>
      <c r="M40" s="16"/>
      <c r="N40" s="16" t="s">
        <v>20</v>
      </c>
      <c r="O40" s="16"/>
      <c r="P40" s="16" t="s">
        <v>21</v>
      </c>
      <c r="Q40" s="16"/>
      <c r="R40" s="15" t="s">
        <v>17</v>
      </c>
      <c r="S40" s="15"/>
    </row>
    <row r="41" spans="2:19">
      <c r="B41" s="13"/>
      <c r="C41" s="13"/>
      <c r="D41" s="4" t="s">
        <v>2</v>
      </c>
      <c r="E41" s="8" t="s">
        <v>50</v>
      </c>
      <c r="F41" s="8" t="s">
        <v>1</v>
      </c>
      <c r="G41" s="8" t="s">
        <v>0</v>
      </c>
      <c r="H41" s="4" t="s">
        <v>50</v>
      </c>
      <c r="I41" s="4" t="s">
        <v>0</v>
      </c>
      <c r="J41" s="4" t="s">
        <v>50</v>
      </c>
      <c r="K41" s="4" t="s">
        <v>0</v>
      </c>
      <c r="L41" s="4" t="s">
        <v>50</v>
      </c>
      <c r="M41" s="4" t="s">
        <v>0</v>
      </c>
      <c r="N41" s="4" t="s">
        <v>50</v>
      </c>
      <c r="O41" s="4" t="s">
        <v>0</v>
      </c>
      <c r="P41" s="4" t="s">
        <v>50</v>
      </c>
      <c r="Q41" s="4" t="s">
        <v>0</v>
      </c>
      <c r="R41" s="8" t="s">
        <v>1</v>
      </c>
      <c r="S41" s="8" t="s">
        <v>0</v>
      </c>
    </row>
    <row r="42" spans="2:19">
      <c r="B42" s="13"/>
      <c r="C42" s="13"/>
      <c r="D42" s="4" t="s">
        <v>32</v>
      </c>
      <c r="E42" s="9">
        <v>-6.1364000000000002E-2</v>
      </c>
      <c r="F42" s="9">
        <f>E42/2</f>
        <v>-3.0682000000000001E-2</v>
      </c>
      <c r="G42" s="10">
        <v>6.1613180999999999</v>
      </c>
      <c r="H42" s="5">
        <v>-5.8770000000000003E-2</v>
      </c>
      <c r="I42" s="2">
        <f>LOG(89.796,2)</f>
        <v>6.4885792758371643</v>
      </c>
      <c r="J42" s="5">
        <v>-5.8979999999999998E-2</v>
      </c>
      <c r="K42" s="2">
        <f>LOG(88.599,2)</f>
        <v>6.4692185103360247</v>
      </c>
      <c r="L42" s="5">
        <v>-5.8970000000000002E-2</v>
      </c>
      <c r="M42" s="2">
        <f>LOG(88.187,2)</f>
        <v>6.4624940928715056</v>
      </c>
      <c r="N42" s="5">
        <v>-5.8810000000000001E-2</v>
      </c>
      <c r="O42" s="2">
        <f>LOG(88.688,2)</f>
        <v>6.470667007624888</v>
      </c>
      <c r="P42" s="5">
        <v>-5.8990000000000001E-2</v>
      </c>
      <c r="Q42" s="2">
        <f>LOG(87.182,2)</f>
        <v>6.4459583951264783</v>
      </c>
      <c r="R42" s="9">
        <f>AVERAGE(H42,J42,L42,N42,P42)/2</f>
        <v>-0.029452</v>
      </c>
      <c r="S42" s="10">
        <f>AVERAGE(I42,K42,M42,O42,Q42)</f>
        <v>6.4673834563592125</v>
      </c>
    </row>
    <row r="43" spans="2:19">
      <c r="B43" s="13"/>
      <c r="C43" s="13"/>
      <c r="D43" s="4" t="s">
        <v>33</v>
      </c>
      <c r="E43" s="9">
        <v>-5.5771000000000001E-2</v>
      </c>
      <c r="F43" s="9">
        <f>E43/2</f>
        <v>-2.7885500000000001E-2</v>
      </c>
      <c r="G43" s="10">
        <v>6.1860885999999997</v>
      </c>
      <c r="H43" s="5">
        <v>-5.4219999999999997E-2</v>
      </c>
      <c r="I43" s="2">
        <f>LOG(86.576,2)</f>
        <v>6.4358952413203649</v>
      </c>
      <c r="J43" s="5">
        <v>-5.4460000000000001E-2</v>
      </c>
      <c r="K43" s="2">
        <f>LOG(85.123,2)</f>
        <v>6.4114770916951462</v>
      </c>
      <c r="L43" s="5">
        <v>-5.4300000000000001E-2</v>
      </c>
      <c r="M43" s="2">
        <f>LOG(87.777,2)</f>
        <v>6.455771058191738</v>
      </c>
      <c r="N43" s="5">
        <v>-5.4429999999999999E-2</v>
      </c>
      <c r="O43" s="2">
        <f>LOG(86.027,2)</f>
        <v>6.4267176227568088</v>
      </c>
      <c r="P43" s="5">
        <v>-5.432E-2</v>
      </c>
      <c r="Q43" s="2">
        <f>LOG(87.387,2)</f>
        <v>6.4493467701453282</v>
      </c>
      <c r="R43" s="9">
        <f t="shared" ref="R43:R47" si="4">AVERAGE(H43,J43,L43,N43,P43)/2</f>
        <v>-0.027173000000000003</v>
      </c>
      <c r="S43" s="10">
        <f t="shared" ref="S43:S47" si="5">AVERAGE(I43,K43,M43,O43,Q43)</f>
        <v>6.435841556821877</v>
      </c>
    </row>
    <row r="44" spans="2:19">
      <c r="B44" s="13"/>
      <c r="C44" s="13"/>
      <c r="D44" s="4" t="s">
        <v>29</v>
      </c>
      <c r="E44" s="9">
        <v>-5.0748000000000001E-2</v>
      </c>
      <c r="F44" s="9">
        <f>E44/2</f>
        <v>-2.5374000000000001E-2</v>
      </c>
      <c r="G44" s="10">
        <v>6.5128560999999996</v>
      </c>
      <c r="H44" s="5">
        <v>-4.9610000000000001E-2</v>
      </c>
      <c r="I44" s="2">
        <f>LOG(114.671,2)</f>
        <v>6.8413567734029126</v>
      </c>
      <c r="J44" s="5">
        <v>-4.9889999999999997E-2</v>
      </c>
      <c r="K44" s="2">
        <f>LOG(114.14,2)</f>
        <v>6.8346606579017264</v>
      </c>
      <c r="L44" s="5">
        <v>-4.9860000000000002E-2</v>
      </c>
      <c r="M44" s="2">
        <f>LOG(116.366,2)</f>
        <v>6.8625257806954609</v>
      </c>
      <c r="N44" s="5">
        <v>-4.9919999999999999E-2</v>
      </c>
      <c r="O44" s="2">
        <f>LOG(111.727,2)</f>
        <v>6.8038340600995584</v>
      </c>
      <c r="P44" s="5">
        <v>-4.972E-2</v>
      </c>
      <c r="Q44" s="2">
        <f>LOG(116.2,2)</f>
        <v>6.8604662585171674</v>
      </c>
      <c r="R44" s="9">
        <f t="shared" si="4"/>
        <v>-0.0249</v>
      </c>
      <c r="S44" s="10">
        <f t="shared" si="5"/>
        <v>6.840568706123365</v>
      </c>
    </row>
    <row r="45" spans="2:19">
      <c r="B45" s="13"/>
      <c r="C45" s="13"/>
      <c r="D45" s="4" t="s">
        <v>5</v>
      </c>
      <c r="E45" s="9">
        <v>-4.7611000000000001E-2</v>
      </c>
      <c r="F45" s="9">
        <f>E45/2</f>
        <v>-2.38055E-2</v>
      </c>
      <c r="G45" s="10">
        <v>6.5644786000000002</v>
      </c>
      <c r="H45" s="5">
        <v>-4.7280000000000003E-2</v>
      </c>
      <c r="I45" s="2">
        <f>LOG(120.993,2)</f>
        <v>6.9187797731637399</v>
      </c>
      <c r="J45" s="5">
        <v>-4.7600000000000003E-2</v>
      </c>
      <c r="K45" s="2">
        <f>LOG(120.762,2)</f>
        <v>6.9160227451323131</v>
      </c>
      <c r="L45" s="5">
        <v>-4.7570000000000001E-2</v>
      </c>
      <c r="M45" s="2">
        <f>LOG(117.121,2)</f>
        <v>6.8718559665496342</v>
      </c>
      <c r="N45" s="5">
        <v>-4.7530000000000003E-2</v>
      </c>
      <c r="O45" s="2">
        <f>LOG(122.403,2)</f>
        <v>6.9354951075445328</v>
      </c>
      <c r="P45" s="5">
        <v>-4.7390000000000002E-2</v>
      </c>
      <c r="Q45" s="2">
        <f>LOG(121.137,2)</f>
        <v>6.920495777875102</v>
      </c>
      <c r="R45" s="9">
        <f t="shared" si="4"/>
        <v>-0.023737</v>
      </c>
      <c r="S45" s="10">
        <f t="shared" si="5"/>
        <v>6.912529874053064</v>
      </c>
    </row>
    <row r="46" spans="2:19">
      <c r="B46" s="13"/>
      <c r="C46" s="13"/>
      <c r="D46" s="4" t="s">
        <v>6</v>
      </c>
      <c r="E46" s="9">
        <v>-4.3048999999999997E-2</v>
      </c>
      <c r="F46" s="9">
        <f>E46/2</f>
        <v>-2.1524499999999998E-2</v>
      </c>
      <c r="G46" s="10">
        <v>7.8008540000000002</v>
      </c>
      <c r="H46" s="5">
        <v>-4.3209999999999998E-2</v>
      </c>
      <c r="I46" s="2">
        <f>LOG(290.835,2)</f>
        <v>8.1840570879455257</v>
      </c>
      <c r="J46" s="5">
        <v>-4.3029999999999999E-2</v>
      </c>
      <c r="K46" s="2">
        <f>LOG(291.773,2)</f>
        <v>8.1887025755379028</v>
      </c>
      <c r="L46" s="5">
        <v>-4.3369999999999999E-2</v>
      </c>
      <c r="M46" s="2">
        <f>LOG(289.555,2)</f>
        <v>8.1776935990973794</v>
      </c>
      <c r="N46" s="5">
        <v>-4.3180000000000003E-2</v>
      </c>
      <c r="O46" s="2">
        <f>LOG(289.855,2)</f>
        <v>8.179187562097475</v>
      </c>
      <c r="P46" s="5">
        <v>-4.317E-2</v>
      </c>
      <c r="Q46" s="2">
        <f>LOG(290.678,2)</f>
        <v>8.1832780748300049</v>
      </c>
      <c r="R46" s="9">
        <f t="shared" si="4"/>
        <v>-0.021595999999999997</v>
      </c>
      <c r="S46" s="10">
        <f t="shared" si="5"/>
        <v>8.182583779901659</v>
      </c>
    </row>
    <row r="47" spans="2:19">
      <c r="B47" s="13"/>
      <c r="C47" s="13"/>
      <c r="D47" s="4" t="s">
        <v>7</v>
      </c>
      <c r="E47" s="11">
        <v>-4.1066999999999999E-2</v>
      </c>
      <c r="F47" s="9">
        <f t="shared" ref="F47:F48" si="6">E47/2</f>
        <v>-2.05335E-2</v>
      </c>
      <c r="G47" s="10">
        <v>7.8008540000000002</v>
      </c>
      <c r="H47" s="3">
        <v>-4.1619999999999997E-2</v>
      </c>
      <c r="I47" s="2">
        <f>LOG(285.686,2)</f>
        <v>8.158286528725041</v>
      </c>
      <c r="J47" s="3">
        <v>-4.1520000000000001E-2</v>
      </c>
      <c r="K47" s="2">
        <f>LOG(287.34,2)</f>
        <v>8.1666150311824328</v>
      </c>
      <c r="L47" s="3">
        <v>-4.1820000000000003E-2</v>
      </c>
      <c r="M47" s="2">
        <f>LOG(286.318,2)</f>
        <v>8.1614745611054786</v>
      </c>
      <c r="N47" s="3">
        <v>-4.1739999999999999E-2</v>
      </c>
      <c r="O47" s="2">
        <f>LOG(285.136,2)</f>
        <v>8.1555063887933681</v>
      </c>
      <c r="P47" s="3">
        <v>-4.1779999999999998E-2</v>
      </c>
      <c r="Q47" s="2">
        <f>LOG(291.191,2)</f>
        <v>8.1858219558332372</v>
      </c>
      <c r="R47" s="9">
        <f t="shared" si="4"/>
        <v>-0.020848</v>
      </c>
      <c r="S47" s="10">
        <f t="shared" si="5"/>
        <v>8.165540893127911</v>
      </c>
    </row>
    <row r="48" spans="2:19">
      <c r="B48" s="14"/>
      <c r="C48" s="14"/>
      <c r="D48" s="6" t="s">
        <v>34</v>
      </c>
      <c r="E48" s="7"/>
      <c r="F48" s="9"/>
      <c r="G48" s="7">
        <f>LOG(574.9174335,2)</f>
        <v>9.1672109687304459</v>
      </c>
      <c r="H48" s="6" t="s">
        <v>45</v>
      </c>
      <c r="I48" s="6">
        <f>LOG(222.689,2)</f>
        <v>7.7988864859453599</v>
      </c>
      <c r="J48" s="6" t="s">
        <v>46</v>
      </c>
      <c r="K48" s="6">
        <f>LOG(596.452,2)</f>
        <v>9.2202622302126809</v>
      </c>
      <c r="L48" s="6" t="s">
        <v>47</v>
      </c>
      <c r="M48" s="6">
        <f>LOG(445.955,2)</f>
        <v>8.8007543291753798</v>
      </c>
      <c r="N48" s="6" t="s">
        <v>48</v>
      </c>
      <c r="O48" s="6">
        <f>LOG(166.464,2)</f>
        <v>7.3790663992809042</v>
      </c>
      <c r="P48" s="6" t="s">
        <v>49</v>
      </c>
      <c r="Q48" s="6">
        <f>LOG(290.181,2)</f>
        <v>8.1808092498301388</v>
      </c>
      <c r="R48" s="7"/>
      <c r="S48" s="10">
        <f>AVERAGE(G48,I48,K48,M48,O48,Q48)</f>
        <v>8.4244982771958181</v>
      </c>
    </row>
  </sheetData>
  <mergeCells count="40">
    <mergeCell ref="L40:M40"/>
    <mergeCell ref="N40:O40"/>
    <mergeCell ref="P40:Q40"/>
    <mergeCell ref="R40:S40"/>
    <mergeCell ref="B15:B24"/>
    <mergeCell ref="C15:C24"/>
    <mergeCell ref="E16:G16"/>
    <mergeCell ref="H16:I16"/>
    <mergeCell ref="D15:S15"/>
    <mergeCell ref="J16:K16"/>
    <mergeCell ref="L16:M16"/>
    <mergeCell ref="N16:O16"/>
    <mergeCell ref="P16:Q16"/>
    <mergeCell ref="R16:S16"/>
    <mergeCell ref="E4:G4"/>
    <mergeCell ref="H4:I4"/>
    <mergeCell ref="B3:B12"/>
    <mergeCell ref="C3:C12"/>
    <mergeCell ref="D3:S3"/>
    <mergeCell ref="J4:K4"/>
    <mergeCell ref="L4:M4"/>
    <mergeCell ref="N4:O4"/>
    <mergeCell ref="P4:Q4"/>
    <mergeCell ref="R4:S4"/>
    <mergeCell ref="B27:B36"/>
    <mergeCell ref="C27:C36"/>
    <mergeCell ref="E28:G28"/>
    <mergeCell ref="H28:I28"/>
    <mergeCell ref="B39:B48"/>
    <mergeCell ref="C39:C48"/>
    <mergeCell ref="E40:G40"/>
    <mergeCell ref="H40:I40"/>
    <mergeCell ref="D27:S27"/>
    <mergeCell ref="J28:K28"/>
    <mergeCell ref="L28:M28"/>
    <mergeCell ref="N28:O28"/>
    <mergeCell ref="P28:Q28"/>
    <mergeCell ref="R28:S28"/>
    <mergeCell ref="D39:S39"/>
    <mergeCell ref="J40:K40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simulate-slope-cost-lwechal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 雯雯</dc:creator>
  <cp:lastModifiedBy>Wenwen Xia</cp:lastModifiedBy>
  <dcterms:created xsi:type="dcterms:W3CDTF">2024-02-13T09:56:09Z</dcterms:created>
  <dcterms:modified xsi:type="dcterms:W3CDTF">2024-05-25T08:09:22Z</dcterms:modified>
</cp:coreProperties>
</file>