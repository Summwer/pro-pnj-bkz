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ummer/Documents/GitHub/MyStudy/Artical_in_Public/[2024][Crypto]ProPnjBKZ/6.experiment/cost-comparison/"/>
    </mc:Choice>
  </mc:AlternateContent>
  <xr:revisionPtr revIDLastSave="0" documentId="13_ncr:1_{12E5527C-0D4C-F844-A3FC-B900C6BDB3D4}" xr6:coauthVersionLast="47" xr6:coauthVersionMax="47" xr10:uidLastSave="{00000000-0000-0000-0000-000000000000}"/>
  <bookViews>
    <workbookView xWindow="-40" yWindow="0" windowWidth="25600" windowHeight="13400" tabRatio="500" xr2:uid="{00000000-000D-0000-FFFF-FFFF00000000}"/>
  </bookViews>
  <sheets>
    <sheet name="ProPnjBKZ(EnumBS)" sheetId="1" r:id="rId1"/>
    <sheet name="ProPnjBKZ(BSSA)" sheetId="2" r:id="rId2"/>
    <sheet name="default G6K" sheetId="3" r:id="rId3"/>
    <sheet name="cost comparis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S15" i="1" l="1"/>
  <c r="Q15" i="4"/>
  <c r="Q16" i="4"/>
  <c r="Q17" i="4"/>
  <c r="Q18" i="4"/>
  <c r="Q19" i="4"/>
  <c r="Q20" i="4"/>
  <c r="Q14" i="4"/>
  <c r="P15" i="4"/>
  <c r="P16" i="4"/>
  <c r="P17" i="4"/>
  <c r="P18" i="4"/>
  <c r="P19" i="4"/>
  <c r="P20" i="4"/>
  <c r="P14" i="4"/>
  <c r="O20" i="4"/>
  <c r="R20" i="4"/>
  <c r="S20" i="4"/>
  <c r="T20" i="4"/>
  <c r="R19" i="4"/>
  <c r="S19" i="4"/>
  <c r="T19" i="4"/>
  <c r="R18" i="4"/>
  <c r="S18" i="4"/>
  <c r="T18" i="4"/>
  <c r="R17" i="4"/>
  <c r="S17" i="4"/>
  <c r="T17" i="4"/>
  <c r="R16" i="4"/>
  <c r="S16" i="4"/>
  <c r="T16" i="4"/>
  <c r="R15" i="4"/>
  <c r="S15" i="4"/>
  <c r="T15" i="4"/>
  <c r="R14" i="4"/>
  <c r="S14" i="4"/>
  <c r="T14" i="4"/>
  <c r="O19" i="4"/>
  <c r="O18" i="4"/>
  <c r="O17" i="4"/>
  <c r="O16" i="4"/>
  <c r="O15" i="4"/>
  <c r="O14" i="4"/>
  <c r="J21" i="1"/>
  <c r="S63" i="1"/>
  <c r="S62" i="1"/>
  <c r="S61" i="1"/>
  <c r="S60" i="1"/>
  <c r="S59" i="1"/>
  <c r="S58" i="1"/>
  <c r="S57" i="1"/>
  <c r="S56" i="1"/>
  <c r="J63" i="1"/>
  <c r="J62" i="1"/>
  <c r="J61" i="1"/>
  <c r="J60" i="1"/>
  <c r="J59" i="1"/>
  <c r="J58" i="1"/>
  <c r="J57" i="1"/>
  <c r="J56" i="1"/>
  <c r="J43" i="1"/>
  <c r="J42" i="1"/>
  <c r="J41" i="1"/>
  <c r="J40" i="1"/>
  <c r="J39" i="1"/>
  <c r="J38" i="1"/>
  <c r="J37" i="1"/>
  <c r="S43" i="1"/>
  <c r="S42" i="1"/>
  <c r="S41" i="1"/>
  <c r="S40" i="1"/>
  <c r="S39" i="1"/>
  <c r="S38" i="1"/>
  <c r="S37" i="1"/>
  <c r="S21" i="1"/>
  <c r="S20" i="1"/>
  <c r="S19" i="1"/>
  <c r="S18" i="1"/>
  <c r="S17" i="1"/>
  <c r="S16" i="1"/>
  <c r="J20" i="1"/>
  <c r="J19" i="1"/>
  <c r="J18" i="1"/>
  <c r="J17" i="1"/>
  <c r="J16" i="1"/>
  <c r="J15" i="1"/>
  <c r="S57" i="2"/>
  <c r="S56" i="2"/>
  <c r="S55" i="2"/>
  <c r="S54" i="2"/>
  <c r="S53" i="2"/>
  <c r="S52" i="2"/>
  <c r="S51" i="2"/>
  <c r="J57" i="2"/>
  <c r="J56" i="2"/>
  <c r="J55" i="2"/>
  <c r="J54" i="2"/>
  <c r="J53" i="2"/>
  <c r="J52" i="2"/>
  <c r="J51" i="2"/>
  <c r="S38" i="2"/>
  <c r="S37" i="2"/>
  <c r="S36" i="2"/>
  <c r="S35" i="2"/>
  <c r="S34" i="2"/>
  <c r="S33" i="2"/>
  <c r="S32" i="2"/>
  <c r="J38" i="2"/>
  <c r="J37" i="2"/>
  <c r="J36" i="2"/>
  <c r="J35" i="2"/>
  <c r="J34" i="2"/>
  <c r="J33" i="2"/>
  <c r="J32" i="2"/>
  <c r="J19" i="2"/>
  <c r="J18" i="2"/>
  <c r="J17" i="2"/>
  <c r="J16" i="2"/>
  <c r="J15" i="2"/>
  <c r="J14" i="2"/>
  <c r="J13" i="2"/>
  <c r="S13" i="2"/>
  <c r="S14" i="2"/>
  <c r="S15" i="2"/>
  <c r="S16" i="2"/>
  <c r="S17" i="2"/>
  <c r="S18" i="2"/>
  <c r="S19" i="2"/>
  <c r="N20" i="4"/>
  <c r="N19" i="4"/>
  <c r="N18" i="4"/>
  <c r="N17" i="4"/>
  <c r="N16" i="4"/>
  <c r="N15" i="4"/>
  <c r="N14" i="4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S55" i="1"/>
  <c r="J55" i="1"/>
  <c r="S54" i="1"/>
  <c r="J54" i="1"/>
  <c r="S53" i="1"/>
  <c r="J53" i="1"/>
  <c r="S52" i="1"/>
  <c r="J52" i="1"/>
  <c r="S51" i="1"/>
  <c r="J51" i="1"/>
  <c r="S50" i="2"/>
  <c r="J50" i="2"/>
  <c r="S49" i="2"/>
  <c r="J49" i="2"/>
  <c r="S48" i="2"/>
  <c r="J48" i="2"/>
  <c r="S47" i="2"/>
  <c r="J47" i="2"/>
  <c r="S46" i="2"/>
  <c r="J46" i="2"/>
  <c r="T23" i="4" l="1"/>
  <c r="T22" i="4"/>
  <c r="S23" i="4"/>
  <c r="S22" i="4"/>
  <c r="R23" i="4"/>
  <c r="R22" i="4"/>
  <c r="P23" i="4"/>
  <c r="O22" i="4"/>
  <c r="S36" i="1"/>
  <c r="S35" i="1"/>
  <c r="S34" i="1"/>
  <c r="S33" i="1"/>
  <c r="S32" i="1"/>
  <c r="S14" i="1"/>
  <c r="S13" i="1"/>
  <c r="S12" i="1"/>
  <c r="S11" i="1"/>
  <c r="S10" i="1"/>
  <c r="S31" i="2"/>
  <c r="S30" i="2"/>
  <c r="S29" i="2"/>
  <c r="S28" i="2"/>
  <c r="S27" i="2"/>
  <c r="S12" i="2"/>
  <c r="S11" i="2"/>
  <c r="S10" i="2"/>
  <c r="S9" i="2"/>
  <c r="S8" i="2"/>
  <c r="J31" i="2"/>
  <c r="J30" i="2"/>
  <c r="J29" i="2"/>
  <c r="J28" i="2"/>
  <c r="J27" i="2"/>
  <c r="J36" i="1"/>
  <c r="J35" i="1"/>
  <c r="J34" i="1"/>
  <c r="J33" i="1"/>
  <c r="J32" i="1"/>
  <c r="J14" i="1"/>
  <c r="J13" i="1"/>
  <c r="J12" i="1"/>
  <c r="J11" i="1"/>
  <c r="J10" i="1"/>
  <c r="J12" i="2"/>
  <c r="J11" i="2"/>
  <c r="J10" i="2"/>
  <c r="J9" i="2"/>
  <c r="J8" i="2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Q22" i="4" l="1"/>
  <c r="Q23" i="4"/>
  <c r="O23" i="4"/>
  <c r="P22" i="4"/>
</calcChain>
</file>

<file path=xl/sharedStrings.xml><?xml version="1.0" encoding="utf-8"?>
<sst xmlns="http://schemas.openxmlformats.org/spreadsheetml/2006/main" count="120" uniqueCount="28">
  <si>
    <t>n</t>
    <phoneticPr fontId="1" type="noConversion"/>
  </si>
  <si>
    <t>alpha</t>
    <phoneticPr fontId="1" type="noConversion"/>
  </si>
  <si>
    <t>max ratio</t>
    <phoneticPr fontId="1" type="noConversion"/>
  </si>
  <si>
    <t>min ratio</t>
    <phoneticPr fontId="1" type="noConversion"/>
  </si>
  <si>
    <t>ProPnjBKZ(EnumBS,max_jump&gt;1) time cost/sec</t>
  </si>
  <si>
    <t>avg time cost</t>
  </si>
  <si>
    <t>ProPnjBKZ(EnumBS,max_jump=1) time cost/sec</t>
  </si>
  <si>
    <t>ProPnjBKZ(BSSA,max_jump&gt;1) time cost/sec</t>
  </si>
  <si>
    <t>ProPnjBKZ(BSSA,max_jump=1) time cost/sec</t>
  </si>
  <si>
    <t>default G6K time cost/sec</t>
  </si>
  <si>
    <t>new time cost model</t>
  </si>
  <si>
    <t>ProPnjBKZ(BSSA,max_jump&gt;1) memory cost/GB</t>
    <phoneticPr fontId="1" type="noConversion"/>
  </si>
  <si>
    <t>avg memory cost</t>
    <phoneticPr fontId="1" type="noConversion"/>
  </si>
  <si>
    <t>ProPnjBKZ(BSSA,max_jump=1) memory cost/GB</t>
    <phoneticPr fontId="1" type="noConversion"/>
  </si>
  <si>
    <t>ProPnjBKZ(EnumBS,max_jump&gt;1) memory cost/GB</t>
    <phoneticPr fontId="1" type="noConversion"/>
  </si>
  <si>
    <t>ProPnjBKZ(EnumBS,max_jump=1) memory cost/GB</t>
    <phoneticPr fontId="1" type="noConversion"/>
  </si>
  <si>
    <t>default G6K time memory cost/GB</t>
    <phoneticPr fontId="1" type="noConversion"/>
  </si>
  <si>
    <t>ProPnjBKZ(EnumBS,max_jump=1) time cost/sec</t>
    <phoneticPr fontId="1" type="noConversion"/>
  </si>
  <si>
    <t>ProPnjBKZ(EnumBS,same strategy as max_jump&gt;1,but let jump=1) time cost/sec</t>
    <phoneticPr fontId="1" type="noConversion"/>
  </si>
  <si>
    <t>ProPnjBKZ(BSSA,max_jump=1) time cost/sec</t>
    <phoneticPr fontId="1" type="noConversion"/>
  </si>
  <si>
    <t>ProPnjBKZ(BSSA,same strategy as max_jump&gt;1,but let jump=1)time cost/sec</t>
    <phoneticPr fontId="1" type="noConversion"/>
  </si>
  <si>
    <t>ProPnjBKZ(BSSA,max_jump&gt;1) time cost/sec</t>
    <phoneticPr fontId="1" type="noConversion"/>
  </si>
  <si>
    <t>ProPnjBKZ(BSSA,use strategy max_jump&gt;1 but set jump=1) time cost/sec</t>
    <phoneticPr fontId="1" type="noConversion"/>
  </si>
  <si>
    <t>ProPnjBKZ(BSSA,use strategy max_jump&gt;1 but set jump=1) memory cost/GB</t>
    <phoneticPr fontId="1" type="noConversion"/>
  </si>
  <si>
    <t>ProPnjBKZ(EnumBS,same strategy as max_jump&gt;1,but set jump=1) memory cost/GB</t>
    <phoneticPr fontId="1" type="noConversion"/>
  </si>
  <si>
    <t>ProPnjBKZ(BSSA,same strategy as max_jump&gt;1,but set jump=1) memory cost/GB</t>
    <phoneticPr fontId="1" type="noConversion"/>
  </si>
  <si>
    <t>default G6K memory cost/GB</t>
    <phoneticPr fontId="1" type="noConversion"/>
  </si>
  <si>
    <t>ratio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</si>
</sst>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9" xfId="0" applyFont="1" applyBorder="1" applyAlignment="1">
      <alignment horizontal="right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right"/>
    </xf>
    <xf numFmtId="0" fontId="0" fillId="0" borderId="16" xfId="0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right"/>
    </xf>
    <xf numFmtId="0" fontId="0" fillId="0" borderId="12" xfId="0" applyBorder="1" applyAlignment="1">
      <alignment horizontal="center" vertical="center" wrapText="1"/>
    </xf>
    <xf numFmtId="0" fontId="2" fillId="0" borderId="13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right"/>
    </xf>
    <xf numFmtId="0" fontId="2" fillId="0" borderId="25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2" fillId="0" borderId="26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27" xfId="0" applyFont="1" applyBorder="1" applyAlignment="1">
      <alignment horizontal="right"/>
    </xf>
    <xf numFmtId="0" fontId="2" fillId="0" borderId="28" xfId="0" applyFont="1" applyBorder="1" applyAlignment="1">
      <alignment horizontal="right"/>
    </xf>
    <xf numFmtId="0" fontId="2" fillId="0" borderId="23" xfId="0" applyFont="1" applyBorder="1" applyAlignment="1">
      <alignment horizontal="right"/>
    </xf>
    <xf numFmtId="0" fontId="2" fillId="0" borderId="29" xfId="0" applyFont="1" applyBorder="1" applyAlignment="1">
      <alignment horizontal="right"/>
    </xf>
    <xf numFmtId="0" fontId="2" fillId="0" borderId="30" xfId="0" applyFont="1" applyBorder="1" applyAlignment="1">
      <alignment horizontal="right"/>
    </xf>
    <xf numFmtId="0" fontId="2" fillId="0" borderId="14" xfId="0" applyFont="1" applyBorder="1" applyAlignment="1">
      <alignment horizontal="center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76" fontId="2" fillId="0" borderId="31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right"/>
    </xf>
    <xf numFmtId="0" fontId="2" fillId="0" borderId="14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0" fillId="0" borderId="16" xfId="0" applyBorder="1" applyAlignment="1">
      <alignment horizontal="center" vertical="center" wrapText="1"/>
    </xf>
    <xf numFmtId="0" fontId="2" fillId="0" borderId="10" xfId="0" applyFont="1" applyBorder="1" applyAlignment="1">
      <alignment horizontal="center"/>
    </xf>
    <xf numFmtId="0" fontId="2" fillId="0" borderId="36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8:S65"/>
  <sheetViews>
    <sheetView tabSelected="1" showRuler="0" zoomScale="75" workbookViewId="0">
      <selection activeCell="M25" sqref="M25"/>
    </sheetView>
  </sheetViews>
  <sheetFormatPr baseColWidth="10" defaultRowHeight="15"/>
  <cols>
    <col min="10" max="10" width="21" customWidth="1"/>
    <col min="19" max="19" width="17.83203125" customWidth="1"/>
  </cols>
  <sheetData>
    <row r="8" spans="3:19">
      <c r="C8" s="62" t="s">
        <v>0</v>
      </c>
      <c r="D8" s="64" t="s">
        <v>1</v>
      </c>
      <c r="E8" s="59" t="s">
        <v>4</v>
      </c>
      <c r="F8" s="59"/>
      <c r="G8" s="59"/>
      <c r="H8" s="66"/>
      <c r="I8" s="67"/>
      <c r="J8" s="68"/>
      <c r="L8" s="62" t="s">
        <v>0</v>
      </c>
      <c r="M8" s="64" t="s">
        <v>1</v>
      </c>
      <c r="N8" s="59" t="s">
        <v>14</v>
      </c>
      <c r="O8" s="59"/>
      <c r="P8" s="59"/>
      <c r="Q8" s="66"/>
      <c r="R8" s="67"/>
      <c r="S8" s="68"/>
    </row>
    <row r="9" spans="3:19">
      <c r="C9" s="63"/>
      <c r="D9" s="65"/>
      <c r="E9" s="2">
        <v>1</v>
      </c>
      <c r="F9" s="3">
        <v>2</v>
      </c>
      <c r="G9" s="2">
        <v>3</v>
      </c>
      <c r="H9" s="36">
        <v>4</v>
      </c>
      <c r="I9" s="2">
        <v>5</v>
      </c>
      <c r="J9" s="38" t="s">
        <v>5</v>
      </c>
      <c r="L9" s="63"/>
      <c r="M9" s="65"/>
      <c r="N9" s="2">
        <v>1</v>
      </c>
      <c r="O9" s="3">
        <v>2</v>
      </c>
      <c r="P9" s="2">
        <v>3</v>
      </c>
      <c r="Q9" s="36">
        <v>4</v>
      </c>
      <c r="R9" s="2">
        <v>5</v>
      </c>
      <c r="S9" s="38" t="s">
        <v>5</v>
      </c>
    </row>
    <row r="10" spans="3:19">
      <c r="C10" s="5">
        <v>48</v>
      </c>
      <c r="D10" s="6">
        <v>1.4999999999999999E-2</v>
      </c>
      <c r="E10" s="7"/>
      <c r="F10" s="8"/>
      <c r="G10" s="35"/>
      <c r="H10" s="37"/>
      <c r="I10" s="35"/>
      <c r="J10" s="30" t="e">
        <f t="shared" ref="J10:J14" si="0">AVERAGE(E10:H10)</f>
        <v>#DIV/0!</v>
      </c>
      <c r="L10" s="5">
        <v>48</v>
      </c>
      <c r="M10" s="6">
        <v>1.4999999999999999E-2</v>
      </c>
      <c r="N10" s="7"/>
      <c r="O10" s="8"/>
      <c r="P10" s="35"/>
      <c r="Q10" s="37"/>
      <c r="R10" s="35"/>
      <c r="S10" s="30" t="e">
        <f t="shared" ref="S10:S14" si="1">AVERAGE(N10:Q10)</f>
        <v>#DIV/0!</v>
      </c>
    </row>
    <row r="11" spans="3:19">
      <c r="C11" s="10">
        <v>49</v>
      </c>
      <c r="D11" s="11">
        <v>1.4999999999999999E-2</v>
      </c>
      <c r="E11" s="7"/>
      <c r="F11" s="8"/>
      <c r="G11" s="8"/>
      <c r="H11" s="8"/>
      <c r="I11" s="8"/>
      <c r="J11" s="12" t="e">
        <f t="shared" si="0"/>
        <v>#DIV/0!</v>
      </c>
      <c r="L11" s="10">
        <v>49</v>
      </c>
      <c r="M11" s="11">
        <v>1.4999999999999999E-2</v>
      </c>
      <c r="N11" s="7"/>
      <c r="O11" s="8"/>
      <c r="P11" s="8"/>
      <c r="Q11" s="8"/>
      <c r="R11" s="8"/>
      <c r="S11" s="12" t="e">
        <f t="shared" si="1"/>
        <v>#DIV/0!</v>
      </c>
    </row>
    <row r="12" spans="3:19">
      <c r="C12" s="10">
        <v>50</v>
      </c>
      <c r="D12" s="11">
        <v>1.4999999999999999E-2</v>
      </c>
      <c r="E12" s="7"/>
      <c r="F12" s="8"/>
      <c r="G12" s="8"/>
      <c r="H12" s="8"/>
      <c r="I12" s="8"/>
      <c r="J12" s="12" t="e">
        <f t="shared" si="0"/>
        <v>#DIV/0!</v>
      </c>
      <c r="L12" s="10">
        <v>50</v>
      </c>
      <c r="M12" s="11">
        <v>1.4999999999999999E-2</v>
      </c>
      <c r="N12" s="7"/>
      <c r="O12" s="8"/>
      <c r="P12" s="8"/>
      <c r="Q12" s="8"/>
      <c r="R12" s="8"/>
      <c r="S12" s="12" t="e">
        <f t="shared" si="1"/>
        <v>#DIV/0!</v>
      </c>
    </row>
    <row r="13" spans="3:19">
      <c r="C13" s="10">
        <v>51</v>
      </c>
      <c r="D13" s="11">
        <v>1.4999999999999999E-2</v>
      </c>
      <c r="E13" s="7"/>
      <c r="F13" s="8"/>
      <c r="G13" s="8"/>
      <c r="H13" s="8"/>
      <c r="I13" s="8"/>
      <c r="J13" s="12" t="e">
        <f t="shared" si="0"/>
        <v>#DIV/0!</v>
      </c>
      <c r="L13" s="10">
        <v>51</v>
      </c>
      <c r="M13" s="11">
        <v>1.4999999999999999E-2</v>
      </c>
      <c r="N13" s="7"/>
      <c r="O13" s="8"/>
      <c r="P13" s="8"/>
      <c r="Q13" s="8"/>
      <c r="R13" s="8"/>
      <c r="S13" s="12" t="e">
        <f t="shared" si="1"/>
        <v>#DIV/0!</v>
      </c>
    </row>
    <row r="14" spans="3:19">
      <c r="C14" s="10">
        <v>52</v>
      </c>
      <c r="D14" s="11">
        <v>1.4999999999999999E-2</v>
      </c>
      <c r="E14" s="7"/>
      <c r="F14" s="8"/>
      <c r="G14" s="8"/>
      <c r="H14" s="8"/>
      <c r="I14" s="8"/>
      <c r="J14" s="12" t="e">
        <f t="shared" si="0"/>
        <v>#DIV/0!</v>
      </c>
      <c r="L14" s="10">
        <v>52</v>
      </c>
      <c r="M14" s="11">
        <v>1.4999999999999999E-2</v>
      </c>
      <c r="N14" s="7"/>
      <c r="O14" s="8"/>
      <c r="P14" s="8"/>
      <c r="Q14" s="8"/>
      <c r="R14" s="8"/>
      <c r="S14" s="12" t="e">
        <f t="shared" si="1"/>
        <v>#DIV/0!</v>
      </c>
    </row>
    <row r="15" spans="3:19">
      <c r="C15" s="5">
        <v>55</v>
      </c>
      <c r="D15" s="6">
        <v>0.01</v>
      </c>
      <c r="E15" s="55">
        <v>1112.19</v>
      </c>
      <c r="F15" s="14">
        <v>929.64</v>
      </c>
      <c r="G15" s="56">
        <v>810.89</v>
      </c>
      <c r="H15" s="14">
        <v>822.59</v>
      </c>
      <c r="I15" s="14">
        <v>853.09</v>
      </c>
      <c r="J15" s="52">
        <f t="shared" ref="J15:J20" si="2">AVERAGE(E15:I15)</f>
        <v>905.68</v>
      </c>
      <c r="L15" s="5">
        <v>55</v>
      </c>
      <c r="M15" s="6">
        <v>0.01</v>
      </c>
      <c r="N15" s="55">
        <v>12.85</v>
      </c>
      <c r="O15" s="14">
        <v>7.2939999999999996</v>
      </c>
      <c r="P15" s="56">
        <v>2.6309999999999998</v>
      </c>
      <c r="Q15" s="14">
        <v>2.4289999999999998</v>
      </c>
      <c r="R15" s="14">
        <v>3.407</v>
      </c>
      <c r="S15" s="52">
        <f>AVERAGE(N15:R15)</f>
        <v>5.7221999999999991</v>
      </c>
    </row>
    <row r="16" spans="3:19">
      <c r="C16" s="10">
        <v>56</v>
      </c>
      <c r="D16" s="11">
        <v>0.01</v>
      </c>
      <c r="E16" s="18">
        <v>875.37</v>
      </c>
      <c r="F16" s="8">
        <v>881.77</v>
      </c>
      <c r="G16" s="19">
        <v>931.49</v>
      </c>
      <c r="H16" s="8">
        <v>861.35</v>
      </c>
      <c r="I16" s="8">
        <v>912.36</v>
      </c>
      <c r="J16" s="53">
        <f t="shared" si="2"/>
        <v>892.46800000000007</v>
      </c>
      <c r="L16" s="10">
        <v>56</v>
      </c>
      <c r="M16" s="11">
        <v>0.01</v>
      </c>
      <c r="N16" s="18">
        <v>3.4340000000000002</v>
      </c>
      <c r="O16" s="8">
        <v>4.0359999999999996</v>
      </c>
      <c r="P16" s="19">
        <v>5.9960000000000004</v>
      </c>
      <c r="Q16" s="8">
        <v>2.4460000000000002</v>
      </c>
      <c r="R16" s="8">
        <v>4.2530000000000001</v>
      </c>
      <c r="S16" s="53">
        <f t="shared" ref="S15:S21" si="3">AVERAGE(N16:R16)</f>
        <v>4.0329999999999995</v>
      </c>
    </row>
    <row r="17" spans="3:19">
      <c r="C17" s="10">
        <v>57</v>
      </c>
      <c r="D17" s="11">
        <v>0.01</v>
      </c>
      <c r="E17" s="7">
        <v>1143.31</v>
      </c>
      <c r="F17" s="8">
        <v>1208.43</v>
      </c>
      <c r="G17" s="19">
        <v>1767.46</v>
      </c>
      <c r="H17" s="8">
        <v>1140.3800000000001</v>
      </c>
      <c r="I17" s="8">
        <v>1827.14</v>
      </c>
      <c r="J17" s="53">
        <f t="shared" si="2"/>
        <v>1417.3440000000001</v>
      </c>
      <c r="L17" s="10">
        <v>57</v>
      </c>
      <c r="M17" s="11">
        <v>0.01</v>
      </c>
      <c r="N17" s="7">
        <v>7.3239999999999998</v>
      </c>
      <c r="O17" s="8">
        <v>10.068</v>
      </c>
      <c r="P17" s="19">
        <v>24.082999999999998</v>
      </c>
      <c r="Q17" s="8">
        <v>8.1240000000000006</v>
      </c>
      <c r="R17" s="8">
        <v>24.045000000000002</v>
      </c>
      <c r="S17" s="53">
        <f t="shared" si="3"/>
        <v>14.728800000000001</v>
      </c>
    </row>
    <row r="18" spans="3:19">
      <c r="C18" s="10">
        <v>58</v>
      </c>
      <c r="D18" s="11">
        <v>0.01</v>
      </c>
      <c r="E18" s="7">
        <v>2481.48</v>
      </c>
      <c r="F18" s="8">
        <v>1595.32</v>
      </c>
      <c r="G18" s="19">
        <v>2080.15</v>
      </c>
      <c r="H18" s="8">
        <v>1407.03</v>
      </c>
      <c r="I18" s="8">
        <v>1592.53</v>
      </c>
      <c r="J18" s="53">
        <f t="shared" si="2"/>
        <v>1831.3020000000001</v>
      </c>
      <c r="L18" s="10">
        <v>58</v>
      </c>
      <c r="M18" s="11">
        <v>0.01</v>
      </c>
      <c r="N18" s="7">
        <v>30.922000000000001</v>
      </c>
      <c r="O18" s="8">
        <v>9.0449999999999999</v>
      </c>
      <c r="P18" s="19">
        <v>24.099</v>
      </c>
      <c r="Q18" s="8">
        <v>3.036</v>
      </c>
      <c r="R18" s="8">
        <v>6.5570000000000004</v>
      </c>
      <c r="S18" s="53">
        <f t="shared" si="3"/>
        <v>14.731800000000002</v>
      </c>
    </row>
    <row r="19" spans="3:19">
      <c r="C19" s="10">
        <v>59</v>
      </c>
      <c r="D19" s="11">
        <v>0.01</v>
      </c>
      <c r="E19" s="7">
        <v>2371.4899999999998</v>
      </c>
      <c r="F19" s="8">
        <v>1737.65</v>
      </c>
      <c r="G19" s="19">
        <v>1652.31</v>
      </c>
      <c r="H19" s="8">
        <v>1510.52</v>
      </c>
      <c r="I19" s="8">
        <v>1787</v>
      </c>
      <c r="J19" s="53">
        <f t="shared" si="2"/>
        <v>1811.7939999999999</v>
      </c>
      <c r="L19" s="10">
        <v>59</v>
      </c>
      <c r="M19" s="11">
        <v>0.01</v>
      </c>
      <c r="N19" s="7">
        <v>27.271000000000001</v>
      </c>
      <c r="O19" s="8">
        <v>10.045</v>
      </c>
      <c r="P19" s="19">
        <v>7.2569999999999997</v>
      </c>
      <c r="Q19" s="8">
        <v>2.516</v>
      </c>
      <c r="R19" s="8">
        <v>10.129</v>
      </c>
      <c r="S19" s="53">
        <f t="shared" si="3"/>
        <v>11.4436</v>
      </c>
    </row>
    <row r="20" spans="3:19">
      <c r="C20" s="10">
        <v>60</v>
      </c>
      <c r="D20" s="11">
        <v>0.01</v>
      </c>
      <c r="E20" s="7">
        <v>2214.38</v>
      </c>
      <c r="F20" s="8">
        <v>2382.89</v>
      </c>
      <c r="G20" s="19">
        <v>2272.44</v>
      </c>
      <c r="H20" s="8">
        <v>3015.89</v>
      </c>
      <c r="I20" s="8">
        <v>2472.0100000000002</v>
      </c>
      <c r="J20" s="53">
        <f t="shared" si="2"/>
        <v>2471.5219999999999</v>
      </c>
      <c r="L20" s="10">
        <v>60</v>
      </c>
      <c r="M20" s="11">
        <v>0.01</v>
      </c>
      <c r="N20" s="7">
        <v>5.032</v>
      </c>
      <c r="O20" s="8">
        <v>11.260999999999999</v>
      </c>
      <c r="P20" s="19">
        <v>7.2930000000000001</v>
      </c>
      <c r="Q20" s="8">
        <v>27.276</v>
      </c>
      <c r="R20" s="8">
        <v>11.282</v>
      </c>
      <c r="S20" s="53">
        <f t="shared" si="3"/>
        <v>12.428799999999999</v>
      </c>
    </row>
    <row r="21" spans="3:19">
      <c r="C21" s="20">
        <v>61</v>
      </c>
      <c r="D21" s="1">
        <v>0.01</v>
      </c>
      <c r="E21" s="21">
        <v>3480.21</v>
      </c>
      <c r="F21" s="22">
        <v>3524.87</v>
      </c>
      <c r="G21" s="23">
        <v>3633.41</v>
      </c>
      <c r="H21" s="24">
        <v>4140.2299999999996</v>
      </c>
      <c r="I21" s="24">
        <v>4519.6000000000004</v>
      </c>
      <c r="J21" s="54">
        <f>AVERAGE(E21:I21)</f>
        <v>3859.6639999999998</v>
      </c>
      <c r="L21" s="20">
        <v>61</v>
      </c>
      <c r="M21" s="1">
        <v>0.01</v>
      </c>
      <c r="N21" s="21">
        <v>14.444000000000001</v>
      </c>
      <c r="O21" s="22">
        <v>16.251999999999999</v>
      </c>
      <c r="P21" s="23">
        <v>20.831</v>
      </c>
      <c r="Q21" s="24">
        <v>27.286000000000001</v>
      </c>
      <c r="R21" s="24">
        <v>35.115000000000002</v>
      </c>
      <c r="S21" s="54">
        <f t="shared" si="3"/>
        <v>22.785599999999999</v>
      </c>
    </row>
    <row r="22" spans="3:19">
      <c r="C22" s="26" t="s">
        <v>2</v>
      </c>
      <c r="D22" s="27"/>
      <c r="E22" s="28"/>
      <c r="F22" s="28"/>
      <c r="G22" s="29"/>
      <c r="H22" s="29"/>
      <c r="I22" s="29"/>
      <c r="J22" s="30"/>
      <c r="L22" s="26" t="s">
        <v>2</v>
      </c>
      <c r="M22" s="27"/>
      <c r="N22" s="28"/>
      <c r="O22" s="28"/>
      <c r="P22" s="29"/>
      <c r="Q22" s="29"/>
      <c r="R22" s="29"/>
      <c r="S22" s="30"/>
    </row>
    <row r="23" spans="3:19">
      <c r="C23" s="31" t="s">
        <v>3</v>
      </c>
      <c r="D23" s="32"/>
      <c r="E23" s="33"/>
      <c r="F23" s="33"/>
      <c r="G23" s="33"/>
      <c r="H23" s="33"/>
      <c r="I23" s="33"/>
      <c r="J23" s="34"/>
      <c r="L23" s="31" t="s">
        <v>3</v>
      </c>
      <c r="M23" s="32"/>
      <c r="N23" s="33"/>
      <c r="O23" s="33"/>
      <c r="P23" s="33"/>
      <c r="Q23" s="33"/>
      <c r="R23" s="33"/>
      <c r="S23" s="34"/>
    </row>
    <row r="30" spans="3:19">
      <c r="C30" s="62" t="s">
        <v>0</v>
      </c>
      <c r="D30" s="64" t="s">
        <v>1</v>
      </c>
      <c r="E30" s="59" t="s">
        <v>6</v>
      </c>
      <c r="F30" s="59"/>
      <c r="G30" s="59"/>
      <c r="H30" s="66"/>
      <c r="I30" s="67"/>
      <c r="J30" s="68"/>
      <c r="L30" s="62" t="s">
        <v>0</v>
      </c>
      <c r="M30" s="64" t="s">
        <v>1</v>
      </c>
      <c r="N30" s="59" t="s">
        <v>15</v>
      </c>
      <c r="O30" s="59"/>
      <c r="P30" s="59"/>
      <c r="Q30" s="66"/>
      <c r="R30" s="67"/>
      <c r="S30" s="68"/>
    </row>
    <row r="31" spans="3:19">
      <c r="C31" s="63"/>
      <c r="D31" s="65"/>
      <c r="E31" s="2">
        <v>1</v>
      </c>
      <c r="F31" s="3">
        <v>2</v>
      </c>
      <c r="G31" s="2">
        <v>3</v>
      </c>
      <c r="H31" s="36">
        <v>4</v>
      </c>
      <c r="I31" s="2">
        <v>5</v>
      </c>
      <c r="J31" s="38" t="s">
        <v>5</v>
      </c>
      <c r="L31" s="63"/>
      <c r="M31" s="65"/>
      <c r="N31" s="2">
        <v>1</v>
      </c>
      <c r="O31" s="3">
        <v>2</v>
      </c>
      <c r="P31" s="2">
        <v>3</v>
      </c>
      <c r="Q31" s="36">
        <v>4</v>
      </c>
      <c r="R31" s="2">
        <v>5</v>
      </c>
      <c r="S31" s="38" t="s">
        <v>5</v>
      </c>
    </row>
    <row r="32" spans="3:19">
      <c r="C32" s="5">
        <v>48</v>
      </c>
      <c r="D32" s="6">
        <v>1.4999999999999999E-2</v>
      </c>
      <c r="E32" s="7"/>
      <c r="F32" s="8"/>
      <c r="G32" s="35"/>
      <c r="H32" s="37"/>
      <c r="I32" s="35"/>
      <c r="J32" s="30" t="e">
        <f t="shared" ref="J32:J36" si="4">AVERAGE(E32:H32)</f>
        <v>#DIV/0!</v>
      </c>
      <c r="L32" s="5">
        <v>48</v>
      </c>
      <c r="M32" s="6">
        <v>1.4999999999999999E-2</v>
      </c>
      <c r="N32" s="7"/>
      <c r="O32" s="8"/>
      <c r="P32" s="35"/>
      <c r="Q32" s="37"/>
      <c r="R32" s="35"/>
      <c r="S32" s="30" t="e">
        <f t="shared" ref="S32:S36" si="5">AVERAGE(N32:Q32)</f>
        <v>#DIV/0!</v>
      </c>
    </row>
    <row r="33" spans="3:19">
      <c r="C33" s="10">
        <v>49</v>
      </c>
      <c r="D33" s="11">
        <v>1.4999999999999999E-2</v>
      </c>
      <c r="E33" s="7"/>
      <c r="F33" s="8"/>
      <c r="G33" s="8"/>
      <c r="H33" s="8"/>
      <c r="I33" s="8"/>
      <c r="J33" s="12" t="e">
        <f t="shared" si="4"/>
        <v>#DIV/0!</v>
      </c>
      <c r="L33" s="10">
        <v>49</v>
      </c>
      <c r="M33" s="11">
        <v>1.4999999999999999E-2</v>
      </c>
      <c r="N33" s="7"/>
      <c r="O33" s="8"/>
      <c r="P33" s="8"/>
      <c r="Q33" s="8"/>
      <c r="R33" s="8"/>
      <c r="S33" s="12" t="e">
        <f t="shared" si="5"/>
        <v>#DIV/0!</v>
      </c>
    </row>
    <row r="34" spans="3:19">
      <c r="C34" s="10">
        <v>50</v>
      </c>
      <c r="D34" s="11">
        <v>1.4999999999999999E-2</v>
      </c>
      <c r="E34" s="7"/>
      <c r="F34" s="8"/>
      <c r="G34" s="8"/>
      <c r="H34" s="8"/>
      <c r="I34" s="8"/>
      <c r="J34" s="12" t="e">
        <f t="shared" si="4"/>
        <v>#DIV/0!</v>
      </c>
      <c r="L34" s="10">
        <v>50</v>
      </c>
      <c r="M34" s="11">
        <v>1.4999999999999999E-2</v>
      </c>
      <c r="N34" s="7"/>
      <c r="O34" s="8"/>
      <c r="P34" s="8"/>
      <c r="Q34" s="8"/>
      <c r="R34" s="8"/>
      <c r="S34" s="12" t="e">
        <f t="shared" si="5"/>
        <v>#DIV/0!</v>
      </c>
    </row>
    <row r="35" spans="3:19">
      <c r="C35" s="10">
        <v>51</v>
      </c>
      <c r="D35" s="11">
        <v>1.4999999999999999E-2</v>
      </c>
      <c r="E35" s="7"/>
      <c r="F35" s="8"/>
      <c r="G35" s="8"/>
      <c r="H35" s="8"/>
      <c r="I35" s="8"/>
      <c r="J35" s="12" t="e">
        <f t="shared" si="4"/>
        <v>#DIV/0!</v>
      </c>
      <c r="L35" s="10">
        <v>51</v>
      </c>
      <c r="M35" s="11">
        <v>1.4999999999999999E-2</v>
      </c>
      <c r="N35" s="7"/>
      <c r="O35" s="8"/>
      <c r="P35" s="8"/>
      <c r="Q35" s="8"/>
      <c r="R35" s="8"/>
      <c r="S35" s="12" t="e">
        <f t="shared" si="5"/>
        <v>#DIV/0!</v>
      </c>
    </row>
    <row r="36" spans="3:19">
      <c r="C36" s="10">
        <v>52</v>
      </c>
      <c r="D36" s="11">
        <v>1.4999999999999999E-2</v>
      </c>
      <c r="E36" s="7"/>
      <c r="F36" s="8"/>
      <c r="G36" s="8"/>
      <c r="H36" s="8"/>
      <c r="I36" s="8"/>
      <c r="J36" s="12" t="e">
        <f t="shared" si="4"/>
        <v>#DIV/0!</v>
      </c>
      <c r="L36" s="10">
        <v>52</v>
      </c>
      <c r="M36" s="11">
        <v>1.4999999999999999E-2</v>
      </c>
      <c r="N36" s="7"/>
      <c r="O36" s="8"/>
      <c r="P36" s="8"/>
      <c r="Q36" s="8"/>
      <c r="R36" s="8"/>
      <c r="S36" s="12" t="e">
        <f t="shared" si="5"/>
        <v>#DIV/0!</v>
      </c>
    </row>
    <row r="37" spans="3:19">
      <c r="C37" s="5">
        <v>55</v>
      </c>
      <c r="D37" s="6">
        <v>0.01</v>
      </c>
      <c r="E37" s="55">
        <v>1656.54</v>
      </c>
      <c r="F37" s="14">
        <v>1882.48</v>
      </c>
      <c r="G37" s="56">
        <v>1831.82</v>
      </c>
      <c r="H37" s="14">
        <v>1403.98</v>
      </c>
      <c r="I37" s="14">
        <v>1247.48</v>
      </c>
      <c r="J37" s="52">
        <f t="shared" ref="J37:J43" si="6">AVERAGE(E37:I37)</f>
        <v>1604.4599999999998</v>
      </c>
      <c r="L37" s="5">
        <v>55</v>
      </c>
      <c r="M37" s="6">
        <v>0.01</v>
      </c>
      <c r="N37" s="55">
        <v>12.843</v>
      </c>
      <c r="O37" s="14">
        <v>18.338000000000001</v>
      </c>
      <c r="P37" s="56">
        <v>18.335000000000001</v>
      </c>
      <c r="Q37" s="14">
        <v>8.1329999999999991</v>
      </c>
      <c r="R37" s="14">
        <v>3.427</v>
      </c>
      <c r="S37" s="52">
        <f t="shared" ref="S37:S43" si="7">AVERAGE(N37:R37)</f>
        <v>12.215199999999999</v>
      </c>
    </row>
    <row r="38" spans="3:19">
      <c r="C38" s="10">
        <v>56</v>
      </c>
      <c r="D38" s="11">
        <v>0.01</v>
      </c>
      <c r="E38" s="18">
        <v>2213.52</v>
      </c>
      <c r="F38" s="8">
        <v>1715.94</v>
      </c>
      <c r="G38" s="19">
        <v>1692</v>
      </c>
      <c r="H38" s="8">
        <v>1758.49</v>
      </c>
      <c r="I38" s="8">
        <v>1647.03</v>
      </c>
      <c r="J38" s="53">
        <f t="shared" si="6"/>
        <v>1805.396</v>
      </c>
      <c r="L38" s="10">
        <v>56</v>
      </c>
      <c r="M38" s="11">
        <v>0.01</v>
      </c>
      <c r="N38" s="18">
        <v>21.103999999999999</v>
      </c>
      <c r="O38" s="8">
        <v>9.0470000000000006</v>
      </c>
      <c r="P38" s="19">
        <v>9.0449999999999999</v>
      </c>
      <c r="Q38" s="8">
        <v>9.048</v>
      </c>
      <c r="R38" s="8">
        <v>7.3579999999999997</v>
      </c>
      <c r="S38" s="53">
        <f t="shared" si="7"/>
        <v>11.1204</v>
      </c>
    </row>
    <row r="39" spans="3:19">
      <c r="C39" s="10">
        <v>57</v>
      </c>
      <c r="D39" s="11">
        <v>0.01</v>
      </c>
      <c r="E39" s="7">
        <v>2981.93</v>
      </c>
      <c r="F39" s="8">
        <v>4967.34</v>
      </c>
      <c r="G39" s="19">
        <v>2937.88</v>
      </c>
      <c r="H39" s="8">
        <v>3848.98</v>
      </c>
      <c r="I39" s="8">
        <v>3140.04</v>
      </c>
      <c r="J39" s="53">
        <f t="shared" si="6"/>
        <v>3575.2340000000004</v>
      </c>
      <c r="L39" s="10">
        <v>57</v>
      </c>
      <c r="M39" s="11">
        <v>0.01</v>
      </c>
      <c r="N39" s="7">
        <v>12.835000000000001</v>
      </c>
      <c r="O39" s="8">
        <v>46.866999999999997</v>
      </c>
      <c r="P39" s="19">
        <v>11.254</v>
      </c>
      <c r="Q39" s="8">
        <v>27.282</v>
      </c>
      <c r="R39" s="8">
        <v>16.309999999999999</v>
      </c>
      <c r="S39" s="53">
        <f t="shared" si="7"/>
        <v>22.909600000000001</v>
      </c>
    </row>
    <row r="40" spans="3:19">
      <c r="C40" s="10">
        <v>58</v>
      </c>
      <c r="D40" s="11">
        <v>0.01</v>
      </c>
      <c r="E40" s="7">
        <v>4067.99</v>
      </c>
      <c r="F40" s="8">
        <v>4135.34</v>
      </c>
      <c r="G40" s="19">
        <v>4161.1400000000003</v>
      </c>
      <c r="H40" s="8">
        <v>4103.24</v>
      </c>
      <c r="I40" s="8">
        <v>3923.17</v>
      </c>
      <c r="J40" s="53">
        <f t="shared" si="6"/>
        <v>4078.1759999999995</v>
      </c>
      <c r="L40" s="10">
        <v>58</v>
      </c>
      <c r="M40" s="11">
        <v>0.01</v>
      </c>
      <c r="N40" s="7">
        <v>27.274999999999999</v>
      </c>
      <c r="O40" s="8">
        <v>30.922999999999998</v>
      </c>
      <c r="P40" s="19">
        <v>30.93</v>
      </c>
      <c r="Q40" s="8">
        <v>27.295999999999999</v>
      </c>
      <c r="R40" s="8">
        <v>24.09</v>
      </c>
      <c r="S40" s="53">
        <f t="shared" si="7"/>
        <v>28.102799999999995</v>
      </c>
    </row>
    <row r="41" spans="3:19">
      <c r="C41" s="10">
        <v>59</v>
      </c>
      <c r="D41" s="11">
        <v>0.01</v>
      </c>
      <c r="E41" s="7">
        <v>5152.63</v>
      </c>
      <c r="F41" s="8">
        <v>5358.77</v>
      </c>
      <c r="G41" s="19">
        <v>5257.64</v>
      </c>
      <c r="H41" s="8">
        <v>5286.41</v>
      </c>
      <c r="I41" s="8">
        <v>5307.67</v>
      </c>
      <c r="J41" s="53">
        <f t="shared" si="6"/>
        <v>5272.6240000000007</v>
      </c>
      <c r="L41" s="10">
        <v>59</v>
      </c>
      <c r="M41" s="11">
        <v>0.01</v>
      </c>
      <c r="N41" s="7">
        <v>6.0049999999999999</v>
      </c>
      <c r="O41" s="8">
        <v>16.239000000000001</v>
      </c>
      <c r="P41" s="19">
        <v>11.211</v>
      </c>
      <c r="Q41" s="8">
        <v>8.1470000000000002</v>
      </c>
      <c r="R41" s="8">
        <v>12.834</v>
      </c>
      <c r="S41" s="53">
        <f t="shared" si="7"/>
        <v>10.887199999999998</v>
      </c>
    </row>
    <row r="42" spans="3:19">
      <c r="C42" s="10">
        <v>60</v>
      </c>
      <c r="D42" s="11">
        <v>0.01</v>
      </c>
      <c r="E42" s="7">
        <v>6607.16</v>
      </c>
      <c r="F42" s="8">
        <v>6536.75</v>
      </c>
      <c r="G42" s="19">
        <v>6464.48</v>
      </c>
      <c r="H42" s="8">
        <v>6632.24</v>
      </c>
      <c r="I42" s="8">
        <v>6846.36</v>
      </c>
      <c r="J42" s="53">
        <f t="shared" si="6"/>
        <v>6617.3979999999992</v>
      </c>
      <c r="L42" s="10">
        <v>60</v>
      </c>
      <c r="M42" s="11">
        <v>0.01</v>
      </c>
      <c r="N42" s="7">
        <v>8.1219999999999999</v>
      </c>
      <c r="O42" s="8">
        <v>9.0519999999999996</v>
      </c>
      <c r="P42" s="19">
        <v>6.5659999999999998</v>
      </c>
      <c r="Q42" s="8">
        <v>11.22</v>
      </c>
      <c r="R42" s="8">
        <v>20.721</v>
      </c>
      <c r="S42" s="53">
        <f t="shared" si="7"/>
        <v>11.136199999999999</v>
      </c>
    </row>
    <row r="43" spans="3:19">
      <c r="C43" s="20">
        <v>61</v>
      </c>
      <c r="D43" s="1">
        <v>0.01</v>
      </c>
      <c r="E43" s="21">
        <v>8028.75</v>
      </c>
      <c r="F43" s="22">
        <v>8606.34</v>
      </c>
      <c r="G43" s="23">
        <v>8387.0400000000009</v>
      </c>
      <c r="H43" s="24">
        <v>8348.57</v>
      </c>
      <c r="I43" s="24">
        <v>8866.85</v>
      </c>
      <c r="J43" s="54">
        <f t="shared" si="6"/>
        <v>8447.5099999999984</v>
      </c>
      <c r="L43" s="20">
        <v>61</v>
      </c>
      <c r="M43" s="1">
        <v>0.01</v>
      </c>
      <c r="N43" s="21">
        <v>11.247999999999999</v>
      </c>
      <c r="O43" s="22">
        <v>27.260999999999999</v>
      </c>
      <c r="P43" s="23">
        <v>20.827000000000002</v>
      </c>
      <c r="Q43" s="24">
        <v>24.084</v>
      </c>
      <c r="R43" s="24">
        <v>35.155999999999999</v>
      </c>
      <c r="S43" s="54">
        <f t="shared" si="7"/>
        <v>23.715199999999999</v>
      </c>
    </row>
    <row r="44" spans="3:19">
      <c r="C44" s="26" t="s">
        <v>2</v>
      </c>
      <c r="D44" s="27"/>
      <c r="E44" s="28"/>
      <c r="F44" s="28"/>
      <c r="G44" s="29"/>
      <c r="H44" s="29"/>
      <c r="I44" s="29"/>
      <c r="J44" s="30"/>
      <c r="L44" s="26" t="s">
        <v>2</v>
      </c>
      <c r="M44" s="27"/>
      <c r="N44" s="28"/>
      <c r="O44" s="28"/>
      <c r="P44" s="29"/>
      <c r="Q44" s="29"/>
      <c r="R44" s="29"/>
      <c r="S44" s="30"/>
    </row>
    <row r="45" spans="3:19">
      <c r="C45" s="31" t="s">
        <v>3</v>
      </c>
      <c r="D45" s="32"/>
      <c r="E45" s="33"/>
      <c r="F45" s="33"/>
      <c r="G45" s="33"/>
      <c r="H45" s="33"/>
      <c r="I45" s="33"/>
      <c r="J45" s="34"/>
      <c r="L45" s="31" t="s">
        <v>3</v>
      </c>
      <c r="M45" s="32"/>
      <c r="N45" s="33"/>
      <c r="O45" s="33"/>
      <c r="P45" s="33"/>
      <c r="Q45" s="33"/>
      <c r="R45" s="33"/>
      <c r="S45" s="34"/>
    </row>
    <row r="49" spans="3:19">
      <c r="C49" s="62" t="s">
        <v>0</v>
      </c>
      <c r="D49" s="64" t="s">
        <v>1</v>
      </c>
      <c r="E49" s="59" t="s">
        <v>22</v>
      </c>
      <c r="F49" s="59"/>
      <c r="G49" s="59"/>
      <c r="H49" s="59"/>
      <c r="I49" s="60"/>
      <c r="J49" s="61"/>
      <c r="L49" s="62" t="s">
        <v>0</v>
      </c>
      <c r="M49" s="64" t="s">
        <v>1</v>
      </c>
      <c r="N49" s="59" t="s">
        <v>23</v>
      </c>
      <c r="O49" s="59"/>
      <c r="P49" s="59"/>
      <c r="Q49" s="59"/>
      <c r="R49" s="60"/>
      <c r="S49" s="61"/>
    </row>
    <row r="50" spans="3:19">
      <c r="C50" s="63"/>
      <c r="D50" s="65"/>
      <c r="E50" s="2">
        <v>1</v>
      </c>
      <c r="F50" s="3">
        <v>2</v>
      </c>
      <c r="G50" s="2">
        <v>3</v>
      </c>
      <c r="H50" s="2">
        <v>4</v>
      </c>
      <c r="I50" s="2">
        <v>5</v>
      </c>
      <c r="J50" s="4" t="s">
        <v>5</v>
      </c>
      <c r="L50" s="63"/>
      <c r="M50" s="65"/>
      <c r="N50" s="2">
        <v>1</v>
      </c>
      <c r="O50" s="3">
        <v>2</v>
      </c>
      <c r="P50" s="2">
        <v>3</v>
      </c>
      <c r="Q50" s="2">
        <v>4</v>
      </c>
      <c r="R50" s="2">
        <v>5</v>
      </c>
      <c r="S50" s="4" t="s">
        <v>12</v>
      </c>
    </row>
    <row r="51" spans="3:19">
      <c r="C51" s="5">
        <v>48</v>
      </c>
      <c r="D51" s="6">
        <v>1.4999999999999999E-2</v>
      </c>
      <c r="E51" s="7"/>
      <c r="F51" s="8"/>
      <c r="G51" s="8"/>
      <c r="H51" s="8"/>
      <c r="I51" s="8"/>
      <c r="J51" s="9" t="e">
        <f t="shared" ref="J51:J55" si="8">AVERAGE(E51:H51)</f>
        <v>#DIV/0!</v>
      </c>
      <c r="L51" s="5">
        <v>48</v>
      </c>
      <c r="M51" s="6">
        <v>1.4999999999999999E-2</v>
      </c>
      <c r="N51" s="7"/>
      <c r="O51" s="8"/>
      <c r="P51" s="8"/>
      <c r="Q51" s="8"/>
      <c r="R51" s="8"/>
      <c r="S51" s="9" t="e">
        <f t="shared" ref="S51:S55" si="9">AVERAGE(N51:Q51)</f>
        <v>#DIV/0!</v>
      </c>
    </row>
    <row r="52" spans="3:19">
      <c r="C52" s="10">
        <v>49</v>
      </c>
      <c r="D52" s="11">
        <v>1.4999999999999999E-2</v>
      </c>
      <c r="E52" s="7"/>
      <c r="F52" s="8"/>
      <c r="G52" s="8"/>
      <c r="H52" s="8"/>
      <c r="I52" s="8"/>
      <c r="J52" s="12" t="e">
        <f t="shared" si="8"/>
        <v>#DIV/0!</v>
      </c>
      <c r="L52" s="10">
        <v>49</v>
      </c>
      <c r="M52" s="11">
        <v>1.4999999999999999E-2</v>
      </c>
      <c r="N52" s="7"/>
      <c r="O52" s="8"/>
      <c r="P52" s="8"/>
      <c r="Q52" s="8"/>
      <c r="R52" s="8"/>
      <c r="S52" s="12" t="e">
        <f t="shared" si="9"/>
        <v>#DIV/0!</v>
      </c>
    </row>
    <row r="53" spans="3:19">
      <c r="C53" s="10">
        <v>50</v>
      </c>
      <c r="D53" s="11">
        <v>1.4999999999999999E-2</v>
      </c>
      <c r="E53" s="7"/>
      <c r="F53" s="8"/>
      <c r="G53" s="8"/>
      <c r="H53" s="8"/>
      <c r="I53" s="8"/>
      <c r="J53" s="12" t="e">
        <f t="shared" si="8"/>
        <v>#DIV/0!</v>
      </c>
      <c r="L53" s="10">
        <v>50</v>
      </c>
      <c r="M53" s="11">
        <v>1.4999999999999999E-2</v>
      </c>
      <c r="N53" s="7"/>
      <c r="O53" s="8"/>
      <c r="P53" s="8"/>
      <c r="Q53" s="8"/>
      <c r="R53" s="8"/>
      <c r="S53" s="12" t="e">
        <f t="shared" si="9"/>
        <v>#DIV/0!</v>
      </c>
    </row>
    <row r="54" spans="3:19">
      <c r="C54" s="10">
        <v>51</v>
      </c>
      <c r="D54" s="11">
        <v>1.4999999999999999E-2</v>
      </c>
      <c r="E54" s="7"/>
      <c r="F54" s="8"/>
      <c r="G54" s="8"/>
      <c r="H54" s="8"/>
      <c r="I54" s="8"/>
      <c r="J54" s="12" t="e">
        <f t="shared" si="8"/>
        <v>#DIV/0!</v>
      </c>
      <c r="L54" s="10">
        <v>51</v>
      </c>
      <c r="M54" s="11">
        <v>1.4999999999999999E-2</v>
      </c>
      <c r="N54" s="7"/>
      <c r="O54" s="8"/>
      <c r="P54" s="8"/>
      <c r="Q54" s="8"/>
      <c r="R54" s="8"/>
      <c r="S54" s="12" t="e">
        <f t="shared" si="9"/>
        <v>#DIV/0!</v>
      </c>
    </row>
    <row r="55" spans="3:19">
      <c r="C55" s="10">
        <v>52</v>
      </c>
      <c r="D55" s="11">
        <v>1.4999999999999999E-2</v>
      </c>
      <c r="E55" s="7"/>
      <c r="F55" s="8"/>
      <c r="G55" s="8"/>
      <c r="H55" s="8"/>
      <c r="I55" s="8"/>
      <c r="J55" s="12" t="e">
        <f t="shared" si="8"/>
        <v>#DIV/0!</v>
      </c>
      <c r="L55" s="10">
        <v>52</v>
      </c>
      <c r="M55" s="11">
        <v>1.4999999999999999E-2</v>
      </c>
      <c r="N55" s="7"/>
      <c r="O55" s="8"/>
      <c r="P55" s="8"/>
      <c r="Q55" s="8"/>
      <c r="R55" s="8"/>
      <c r="S55" s="12" t="e">
        <f t="shared" si="9"/>
        <v>#DIV/0!</v>
      </c>
    </row>
    <row r="56" spans="3:19">
      <c r="C56" s="5">
        <v>54</v>
      </c>
      <c r="D56" s="6">
        <v>0.01</v>
      </c>
      <c r="E56" s="13">
        <v>5003.96</v>
      </c>
      <c r="F56" s="14">
        <v>4956.6000000000004</v>
      </c>
      <c r="G56" s="15"/>
      <c r="H56" s="16"/>
      <c r="I56" s="16"/>
      <c r="J56" s="52">
        <f>AVERAGE(E56:I56)</f>
        <v>4980.2800000000007</v>
      </c>
      <c r="L56" s="5">
        <v>54</v>
      </c>
      <c r="M56" s="6">
        <v>0.01</v>
      </c>
      <c r="N56" s="13">
        <v>1.96</v>
      </c>
      <c r="O56" s="14">
        <v>1.95</v>
      </c>
      <c r="P56" s="15"/>
      <c r="Q56" s="16"/>
      <c r="R56" s="16"/>
      <c r="S56" s="52">
        <f>AVERAGE(N56:R56)</f>
        <v>1.9550000000000001</v>
      </c>
    </row>
    <row r="57" spans="3:19">
      <c r="C57" s="10">
        <v>55</v>
      </c>
      <c r="D57" s="11">
        <v>0.01</v>
      </c>
      <c r="E57" s="18">
        <v>6329.87</v>
      </c>
      <c r="F57" s="8">
        <v>6329.17</v>
      </c>
      <c r="G57" s="19"/>
      <c r="H57" s="8"/>
      <c r="I57" s="8"/>
      <c r="J57" s="53">
        <f t="shared" ref="J57:J63" si="10">AVERAGE(E57:I57)</f>
        <v>6329.52</v>
      </c>
      <c r="L57" s="10">
        <v>55</v>
      </c>
      <c r="M57" s="11">
        <v>0.01</v>
      </c>
      <c r="N57" s="18">
        <v>1.96</v>
      </c>
      <c r="O57" s="8">
        <v>1.97</v>
      </c>
      <c r="P57" s="19"/>
      <c r="Q57" s="8"/>
      <c r="R57" s="8"/>
      <c r="S57" s="53">
        <f t="shared" ref="S57:S63" si="11">AVERAGE(N57:R57)</f>
        <v>1.9649999999999999</v>
      </c>
    </row>
    <row r="58" spans="3:19">
      <c r="C58" s="10">
        <v>56</v>
      </c>
      <c r="D58" s="11">
        <v>0.01</v>
      </c>
      <c r="E58" s="18">
        <v>6713.89</v>
      </c>
      <c r="F58" s="8">
        <v>7298.16</v>
      </c>
      <c r="G58" s="19"/>
      <c r="H58" s="8"/>
      <c r="I58" s="8"/>
      <c r="J58" s="53">
        <f t="shared" si="10"/>
        <v>7006.0249999999996</v>
      </c>
      <c r="L58" s="10">
        <v>56</v>
      </c>
      <c r="M58" s="11">
        <v>0.01</v>
      </c>
      <c r="N58" s="18">
        <v>1.98</v>
      </c>
      <c r="O58" s="8">
        <v>2.4849999999999999</v>
      </c>
      <c r="P58" s="19"/>
      <c r="Q58" s="8"/>
      <c r="R58" s="8"/>
      <c r="S58" s="53">
        <f t="shared" si="11"/>
        <v>2.2324999999999999</v>
      </c>
    </row>
    <row r="59" spans="3:19">
      <c r="C59" s="10">
        <v>57</v>
      </c>
      <c r="D59" s="11">
        <v>0.01</v>
      </c>
      <c r="E59" s="7">
        <v>8504.25</v>
      </c>
      <c r="F59" s="8">
        <v>5341.59</v>
      </c>
      <c r="G59" s="19"/>
      <c r="H59" s="8"/>
      <c r="I59" s="8"/>
      <c r="J59" s="53">
        <f t="shared" si="10"/>
        <v>6922.92</v>
      </c>
      <c r="L59" s="10">
        <v>57</v>
      </c>
      <c r="M59" s="11">
        <v>0.01</v>
      </c>
      <c r="N59" s="7">
        <v>1.98</v>
      </c>
      <c r="O59" s="8">
        <v>1.98</v>
      </c>
      <c r="P59" s="19"/>
      <c r="Q59" s="8"/>
      <c r="R59" s="8"/>
      <c r="S59" s="53">
        <f t="shared" si="11"/>
        <v>1.98</v>
      </c>
    </row>
    <row r="60" spans="3:19">
      <c r="C60" s="10">
        <v>58</v>
      </c>
      <c r="D60" s="11">
        <v>0.01</v>
      </c>
      <c r="E60" s="7">
        <v>13032.58</v>
      </c>
      <c r="F60" s="8">
        <v>12848.57</v>
      </c>
      <c r="G60" s="19"/>
      <c r="H60" s="8"/>
      <c r="I60" s="8"/>
      <c r="J60" s="53">
        <f t="shared" si="10"/>
        <v>12940.575000000001</v>
      </c>
      <c r="L60" s="10">
        <v>58</v>
      </c>
      <c r="M60" s="11">
        <v>0.01</v>
      </c>
      <c r="N60" s="7">
        <v>6.5570000000000004</v>
      </c>
      <c r="O60" s="8">
        <v>2.2629999999999999</v>
      </c>
      <c r="P60" s="19"/>
      <c r="Q60" s="8"/>
      <c r="R60" s="8"/>
      <c r="S60" s="53">
        <f t="shared" si="11"/>
        <v>4.41</v>
      </c>
    </row>
    <row r="61" spans="3:19">
      <c r="C61" s="10">
        <v>59</v>
      </c>
      <c r="D61" s="11">
        <v>0.01</v>
      </c>
      <c r="E61" s="7">
        <v>13630.72</v>
      </c>
      <c r="F61" s="8">
        <v>13739.69</v>
      </c>
      <c r="G61" s="19"/>
      <c r="H61" s="8"/>
      <c r="I61" s="8"/>
      <c r="J61" s="53">
        <f t="shared" si="10"/>
        <v>13685.205</v>
      </c>
      <c r="L61" s="10">
        <v>59</v>
      </c>
      <c r="M61" s="11">
        <v>0.01</v>
      </c>
      <c r="N61" s="7">
        <v>3.4140000000000001</v>
      </c>
      <c r="O61" s="8">
        <v>8.1210000000000004</v>
      </c>
      <c r="P61" s="19"/>
      <c r="Q61" s="8"/>
      <c r="R61" s="8"/>
      <c r="S61" s="53">
        <f t="shared" si="11"/>
        <v>5.7675000000000001</v>
      </c>
    </row>
    <row r="62" spans="3:19">
      <c r="C62" s="10">
        <v>60</v>
      </c>
      <c r="D62" s="11">
        <v>0.01</v>
      </c>
      <c r="E62" s="7">
        <v>18877.759999999998</v>
      </c>
      <c r="F62" s="8">
        <v>18805.23</v>
      </c>
      <c r="G62" s="19"/>
      <c r="H62" s="8"/>
      <c r="I62" s="8"/>
      <c r="J62" s="53">
        <f t="shared" si="10"/>
        <v>18841.494999999999</v>
      </c>
      <c r="L62" s="10">
        <v>60</v>
      </c>
      <c r="M62" s="11">
        <v>0.01</v>
      </c>
      <c r="N62" s="7">
        <v>2.88</v>
      </c>
      <c r="O62" s="8">
        <v>2.88</v>
      </c>
      <c r="P62" s="19"/>
      <c r="Q62" s="8"/>
      <c r="R62" s="8"/>
      <c r="S62" s="53">
        <f t="shared" si="11"/>
        <v>2.88</v>
      </c>
    </row>
    <row r="63" spans="3:19">
      <c r="C63" s="20">
        <v>61</v>
      </c>
      <c r="D63" s="1">
        <v>0.01</v>
      </c>
      <c r="E63" s="21">
        <v>27976.12</v>
      </c>
      <c r="F63" s="22"/>
      <c r="G63" s="23"/>
      <c r="H63" s="24"/>
      <c r="I63" s="24"/>
      <c r="J63" s="54">
        <f t="shared" si="10"/>
        <v>27976.12</v>
      </c>
      <c r="L63" s="20">
        <v>61</v>
      </c>
      <c r="M63" s="1">
        <v>0.01</v>
      </c>
      <c r="N63" s="21">
        <v>3.28</v>
      </c>
      <c r="O63" s="22"/>
      <c r="P63" s="23"/>
      <c r="Q63" s="24"/>
      <c r="R63" s="24"/>
      <c r="S63" s="54">
        <f t="shared" si="11"/>
        <v>3.28</v>
      </c>
    </row>
    <row r="64" spans="3:19">
      <c r="C64" s="26" t="s">
        <v>2</v>
      </c>
      <c r="D64" s="27"/>
      <c r="E64" s="28"/>
      <c r="F64" s="28"/>
      <c r="G64" s="29"/>
      <c r="H64" s="29"/>
      <c r="I64" s="29"/>
      <c r="J64" s="30"/>
      <c r="L64" s="26" t="s">
        <v>2</v>
      </c>
      <c r="M64" s="27"/>
      <c r="N64" s="28"/>
      <c r="O64" s="28"/>
      <c r="P64" s="29"/>
      <c r="Q64" s="29"/>
      <c r="R64" s="29"/>
      <c r="S64" s="30"/>
    </row>
    <row r="65" spans="3:19">
      <c r="C65" s="31" t="s">
        <v>3</v>
      </c>
      <c r="D65" s="32"/>
      <c r="E65" s="33"/>
      <c r="F65" s="33"/>
      <c r="G65" s="33"/>
      <c r="H65" s="33"/>
      <c r="I65" s="33"/>
      <c r="J65" s="34"/>
      <c r="L65" s="31" t="s">
        <v>3</v>
      </c>
      <c r="M65" s="32"/>
      <c r="N65" s="33"/>
      <c r="O65" s="33"/>
      <c r="P65" s="33"/>
      <c r="Q65" s="33"/>
      <c r="R65" s="33"/>
      <c r="S65" s="34"/>
    </row>
  </sheetData>
  <mergeCells count="18">
    <mergeCell ref="C8:C9"/>
    <mergeCell ref="D8:D9"/>
    <mergeCell ref="E8:J8"/>
    <mergeCell ref="C30:C31"/>
    <mergeCell ref="D30:D31"/>
    <mergeCell ref="E30:J30"/>
    <mergeCell ref="L8:L9"/>
    <mergeCell ref="M8:M9"/>
    <mergeCell ref="N8:S8"/>
    <mergeCell ref="L30:L31"/>
    <mergeCell ref="M30:M31"/>
    <mergeCell ref="N30:S30"/>
    <mergeCell ref="N49:S49"/>
    <mergeCell ref="C49:C50"/>
    <mergeCell ref="D49:D50"/>
    <mergeCell ref="E49:J49"/>
    <mergeCell ref="L49:L50"/>
    <mergeCell ref="M49:M50"/>
  </mergeCells>
  <phoneticPr fontId="1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12581-F071-0941-AACA-28B2601F591A}">
  <dimension ref="C6:S59"/>
  <sheetViews>
    <sheetView topLeftCell="B5" zoomScale="87" zoomScaleNormal="85" workbookViewId="0">
      <selection activeCell="J11" sqref="J11"/>
    </sheetView>
  </sheetViews>
  <sheetFormatPr baseColWidth="10" defaultRowHeight="15"/>
  <cols>
    <col min="10" max="10" width="16.83203125" customWidth="1"/>
    <col min="19" max="19" width="17.5" customWidth="1"/>
  </cols>
  <sheetData>
    <row r="6" spans="3:19">
      <c r="C6" s="62" t="s">
        <v>0</v>
      </c>
      <c r="D6" s="64" t="s">
        <v>1</v>
      </c>
      <c r="E6" s="59" t="s">
        <v>21</v>
      </c>
      <c r="F6" s="59"/>
      <c r="G6" s="59"/>
      <c r="H6" s="59"/>
      <c r="I6" s="60"/>
      <c r="J6" s="61"/>
      <c r="L6" s="62" t="s">
        <v>0</v>
      </c>
      <c r="M6" s="64" t="s">
        <v>1</v>
      </c>
      <c r="N6" s="59" t="s">
        <v>11</v>
      </c>
      <c r="O6" s="59"/>
      <c r="P6" s="59"/>
      <c r="Q6" s="59"/>
      <c r="R6" s="60"/>
      <c r="S6" s="61"/>
    </row>
    <row r="7" spans="3:19">
      <c r="C7" s="63"/>
      <c r="D7" s="65"/>
      <c r="E7" s="2">
        <v>1</v>
      </c>
      <c r="F7" s="3">
        <v>2</v>
      </c>
      <c r="G7" s="2">
        <v>3</v>
      </c>
      <c r="H7" s="2">
        <v>4</v>
      </c>
      <c r="I7" s="2">
        <v>5</v>
      </c>
      <c r="J7" s="4" t="s">
        <v>5</v>
      </c>
      <c r="L7" s="63"/>
      <c r="M7" s="65"/>
      <c r="N7" s="2">
        <v>1</v>
      </c>
      <c r="O7" s="3">
        <v>2</v>
      </c>
      <c r="P7" s="2">
        <v>3</v>
      </c>
      <c r="Q7" s="2">
        <v>4</v>
      </c>
      <c r="R7" s="2">
        <v>5</v>
      </c>
      <c r="S7" s="4" t="s">
        <v>12</v>
      </c>
    </row>
    <row r="8" spans="3:19">
      <c r="C8" s="5">
        <v>48</v>
      </c>
      <c r="D8" s="6">
        <v>1.4999999999999999E-2</v>
      </c>
      <c r="E8" s="7"/>
      <c r="F8" s="8"/>
      <c r="G8" s="8"/>
      <c r="H8" s="8"/>
      <c r="I8" s="8"/>
      <c r="J8" s="9" t="e">
        <f t="shared" ref="J8:J12" si="0">AVERAGE(E8:H8)</f>
        <v>#DIV/0!</v>
      </c>
      <c r="L8" s="5">
        <v>48</v>
      </c>
      <c r="M8" s="6">
        <v>1.4999999999999999E-2</v>
      </c>
      <c r="N8" s="7"/>
      <c r="O8" s="8"/>
      <c r="P8" s="8"/>
      <c r="Q8" s="8"/>
      <c r="R8" s="8"/>
      <c r="S8" s="9" t="e">
        <f t="shared" ref="S8:S12" si="1">AVERAGE(N8:Q8)</f>
        <v>#DIV/0!</v>
      </c>
    </row>
    <row r="9" spans="3:19">
      <c r="C9" s="10">
        <v>49</v>
      </c>
      <c r="D9" s="11">
        <v>1.4999999999999999E-2</v>
      </c>
      <c r="E9" s="7"/>
      <c r="F9" s="8"/>
      <c r="G9" s="8"/>
      <c r="H9" s="8"/>
      <c r="I9" s="8"/>
      <c r="J9" s="12" t="e">
        <f t="shared" si="0"/>
        <v>#DIV/0!</v>
      </c>
      <c r="L9" s="10">
        <v>49</v>
      </c>
      <c r="M9" s="11">
        <v>1.4999999999999999E-2</v>
      </c>
      <c r="N9" s="7"/>
      <c r="O9" s="8"/>
      <c r="P9" s="8"/>
      <c r="Q9" s="8"/>
      <c r="R9" s="8"/>
      <c r="S9" s="12" t="e">
        <f t="shared" si="1"/>
        <v>#DIV/0!</v>
      </c>
    </row>
    <row r="10" spans="3:19">
      <c r="C10" s="10">
        <v>50</v>
      </c>
      <c r="D10" s="11">
        <v>1.4999999999999999E-2</v>
      </c>
      <c r="E10" s="7"/>
      <c r="F10" s="8"/>
      <c r="G10" s="8"/>
      <c r="H10" s="8"/>
      <c r="I10" s="8"/>
      <c r="J10" s="12" t="e">
        <f t="shared" si="0"/>
        <v>#DIV/0!</v>
      </c>
      <c r="L10" s="10">
        <v>50</v>
      </c>
      <c r="M10" s="11">
        <v>1.4999999999999999E-2</v>
      </c>
      <c r="N10" s="7"/>
      <c r="O10" s="8"/>
      <c r="P10" s="8"/>
      <c r="Q10" s="8"/>
      <c r="R10" s="8"/>
      <c r="S10" s="12" t="e">
        <f t="shared" si="1"/>
        <v>#DIV/0!</v>
      </c>
    </row>
    <row r="11" spans="3:19">
      <c r="C11" s="10">
        <v>51</v>
      </c>
      <c r="D11" s="11">
        <v>1.4999999999999999E-2</v>
      </c>
      <c r="E11" s="7"/>
      <c r="F11" s="8"/>
      <c r="G11" s="8"/>
      <c r="H11" s="8"/>
      <c r="I11" s="8"/>
      <c r="J11" s="12" t="e">
        <f t="shared" si="0"/>
        <v>#DIV/0!</v>
      </c>
      <c r="L11" s="10">
        <v>51</v>
      </c>
      <c r="M11" s="11">
        <v>1.4999999999999999E-2</v>
      </c>
      <c r="N11" s="7"/>
      <c r="O11" s="8"/>
      <c r="P11" s="8"/>
      <c r="Q11" s="8"/>
      <c r="R11" s="8"/>
      <c r="S11" s="12" t="e">
        <f t="shared" si="1"/>
        <v>#DIV/0!</v>
      </c>
    </row>
    <row r="12" spans="3:19">
      <c r="C12" s="10">
        <v>52</v>
      </c>
      <c r="D12" s="11">
        <v>1.4999999999999999E-2</v>
      </c>
      <c r="E12" s="7"/>
      <c r="F12" s="8"/>
      <c r="G12" s="8"/>
      <c r="H12" s="8"/>
      <c r="I12" s="8"/>
      <c r="J12" s="12" t="e">
        <f t="shared" si="0"/>
        <v>#DIV/0!</v>
      </c>
      <c r="L12" s="10">
        <v>52</v>
      </c>
      <c r="M12" s="11">
        <v>1.4999999999999999E-2</v>
      </c>
      <c r="N12" s="7"/>
      <c r="O12" s="8"/>
      <c r="P12" s="8"/>
      <c r="Q12" s="8"/>
      <c r="R12" s="8"/>
      <c r="S12" s="12" t="e">
        <f t="shared" si="1"/>
        <v>#DIV/0!</v>
      </c>
    </row>
    <row r="13" spans="3:19">
      <c r="C13" s="5">
        <v>55</v>
      </c>
      <c r="D13" s="6">
        <v>0.01</v>
      </c>
      <c r="E13" s="55">
        <v>1117.68</v>
      </c>
      <c r="F13" s="14">
        <v>1059.97</v>
      </c>
      <c r="G13" s="56">
        <v>952.67</v>
      </c>
      <c r="H13" s="14">
        <v>1265.47</v>
      </c>
      <c r="I13" s="14">
        <v>1215.47</v>
      </c>
      <c r="J13" s="52">
        <f t="shared" ref="J13:J19" si="2">AVERAGE(E13:I13)</f>
        <v>1122.252</v>
      </c>
      <c r="L13" s="5">
        <v>55</v>
      </c>
      <c r="M13" s="6">
        <v>0.01</v>
      </c>
      <c r="N13" s="55">
        <v>11.278</v>
      </c>
      <c r="O13" s="14">
        <v>10.111000000000001</v>
      </c>
      <c r="P13" s="56">
        <v>7.3235000000000001</v>
      </c>
      <c r="Q13" s="14">
        <v>14.436999999999999</v>
      </c>
      <c r="R13" s="14">
        <v>12.858000000000001</v>
      </c>
      <c r="S13" s="52">
        <f t="shared" ref="S13:S19" si="3">AVERAGE(N13:R13)</f>
        <v>11.201500000000001</v>
      </c>
    </row>
    <row r="14" spans="3:19">
      <c r="C14" s="10">
        <v>56</v>
      </c>
      <c r="D14" s="11">
        <v>0.01</v>
      </c>
      <c r="E14" s="18">
        <v>1358.65</v>
      </c>
      <c r="F14" s="8">
        <v>1320.42</v>
      </c>
      <c r="G14" s="19">
        <v>1271.3699999999999</v>
      </c>
      <c r="H14" s="8">
        <v>1314.61</v>
      </c>
      <c r="I14" s="8">
        <v>1540.98</v>
      </c>
      <c r="J14" s="53">
        <f t="shared" si="2"/>
        <v>1361.2060000000001</v>
      </c>
      <c r="L14" s="10">
        <v>56</v>
      </c>
      <c r="M14" s="11">
        <v>0.01</v>
      </c>
      <c r="N14" s="18">
        <v>6.5647000000000002</v>
      </c>
      <c r="O14" s="8">
        <v>5.49</v>
      </c>
      <c r="P14" s="19">
        <v>3.778</v>
      </c>
      <c r="Q14" s="8">
        <v>5.4640000000000004</v>
      </c>
      <c r="R14" s="8">
        <v>10.079000000000001</v>
      </c>
      <c r="S14" s="53">
        <f t="shared" si="3"/>
        <v>6.2751400000000004</v>
      </c>
    </row>
    <row r="15" spans="3:19">
      <c r="C15" s="10">
        <v>57</v>
      </c>
      <c r="D15" s="11">
        <v>0.01</v>
      </c>
      <c r="E15" s="7">
        <v>1725.36</v>
      </c>
      <c r="F15" s="8">
        <v>1647.8</v>
      </c>
      <c r="G15" s="19">
        <v>1917.45</v>
      </c>
      <c r="H15" s="8">
        <v>1769.36</v>
      </c>
      <c r="I15" s="8">
        <v>1881.8</v>
      </c>
      <c r="J15" s="53">
        <f t="shared" si="2"/>
        <v>1788.3539999999998</v>
      </c>
      <c r="L15" s="10">
        <v>57</v>
      </c>
      <c r="M15" s="11">
        <v>0.01</v>
      </c>
      <c r="N15" s="7">
        <v>6.569</v>
      </c>
      <c r="O15" s="8">
        <v>3.7629999999999999</v>
      </c>
      <c r="P15" s="19">
        <v>12.842000000000001</v>
      </c>
      <c r="Q15" s="8">
        <v>9.0359999999999996</v>
      </c>
      <c r="R15" s="8">
        <v>9.0370000000000008</v>
      </c>
      <c r="S15" s="53">
        <f t="shared" si="3"/>
        <v>8.2493999999999996</v>
      </c>
    </row>
    <row r="16" spans="3:19">
      <c r="C16" s="10">
        <v>58</v>
      </c>
      <c r="D16" s="11">
        <v>0.01</v>
      </c>
      <c r="E16" s="7">
        <v>2012.84</v>
      </c>
      <c r="F16" s="8">
        <v>2997.03</v>
      </c>
      <c r="G16" s="19">
        <v>2358.14</v>
      </c>
      <c r="H16" s="8">
        <v>3275.09</v>
      </c>
      <c r="I16" s="8">
        <v>2115.83</v>
      </c>
      <c r="J16" s="53">
        <f t="shared" si="2"/>
        <v>2551.7860000000001</v>
      </c>
      <c r="L16" s="10">
        <v>58</v>
      </c>
      <c r="M16" s="11">
        <v>0.01</v>
      </c>
      <c r="N16" s="7">
        <v>5.4720000000000004</v>
      </c>
      <c r="O16" s="8">
        <v>30.898</v>
      </c>
      <c r="P16" s="19">
        <v>16.242000000000001</v>
      </c>
      <c r="Q16" s="8">
        <v>35.097000000000001</v>
      </c>
      <c r="R16" s="8">
        <v>6.0179999999999998</v>
      </c>
      <c r="S16" s="53">
        <f t="shared" si="3"/>
        <v>18.7454</v>
      </c>
    </row>
    <row r="17" spans="3:19">
      <c r="C17" s="10">
        <v>59</v>
      </c>
      <c r="D17" s="11">
        <v>0.01</v>
      </c>
      <c r="E17" s="7">
        <v>2656.22</v>
      </c>
      <c r="F17" s="8">
        <v>2594.08</v>
      </c>
      <c r="G17" s="19">
        <v>2688.65</v>
      </c>
      <c r="H17" s="8">
        <v>2757.79</v>
      </c>
      <c r="I17" s="8">
        <v>2660.9</v>
      </c>
      <c r="J17" s="53">
        <f t="shared" si="2"/>
        <v>2671.5279999999993</v>
      </c>
      <c r="L17" s="10">
        <v>59</v>
      </c>
      <c r="M17" s="11">
        <v>0.01</v>
      </c>
      <c r="N17" s="7">
        <v>5.0529999999999999</v>
      </c>
      <c r="O17" s="8">
        <v>2.9279999999999999</v>
      </c>
      <c r="P17" s="19">
        <v>6.5750000000000002</v>
      </c>
      <c r="Q17" s="8">
        <v>10.125999999999999</v>
      </c>
      <c r="R17" s="8">
        <v>3.2229999999999999</v>
      </c>
      <c r="S17" s="53">
        <f t="shared" si="3"/>
        <v>5.5810000000000004</v>
      </c>
    </row>
    <row r="18" spans="3:19">
      <c r="C18" s="10">
        <v>60</v>
      </c>
      <c r="D18" s="11">
        <v>0.01</v>
      </c>
      <c r="E18" s="7">
        <v>3413.58</v>
      </c>
      <c r="F18" s="8">
        <v>3266.94</v>
      </c>
      <c r="G18" s="19">
        <v>3093.31</v>
      </c>
      <c r="H18" s="8">
        <v>3064.03</v>
      </c>
      <c r="I18" s="8">
        <v>3339.48</v>
      </c>
      <c r="J18" s="53">
        <f t="shared" si="2"/>
        <v>3235.4679999999998</v>
      </c>
      <c r="L18" s="10">
        <v>60</v>
      </c>
      <c r="M18" s="11">
        <v>0.01</v>
      </c>
      <c r="N18" s="7">
        <v>16.245999999999999</v>
      </c>
      <c r="O18" s="8">
        <v>11.217000000000001</v>
      </c>
      <c r="P18" s="19">
        <v>4.6079999999999997</v>
      </c>
      <c r="Q18" s="8">
        <v>5.5110000000000001</v>
      </c>
      <c r="R18" s="8">
        <v>11.262</v>
      </c>
      <c r="S18" s="53">
        <f t="shared" si="3"/>
        <v>9.7688000000000006</v>
      </c>
    </row>
    <row r="19" spans="3:19">
      <c r="C19" s="20">
        <v>61</v>
      </c>
      <c r="D19" s="1">
        <v>0.01</v>
      </c>
      <c r="E19" s="21">
        <v>4828.1899999999996</v>
      </c>
      <c r="F19" s="22">
        <v>6062.53</v>
      </c>
      <c r="G19" s="23">
        <v>3314.55</v>
      </c>
      <c r="H19" s="24">
        <v>4029.02</v>
      </c>
      <c r="I19" s="24">
        <v>3706.04</v>
      </c>
      <c r="J19" s="54">
        <f t="shared" si="2"/>
        <v>4388.0660000000007</v>
      </c>
      <c r="L19" s="20">
        <v>61</v>
      </c>
      <c r="M19" s="1">
        <v>0.01</v>
      </c>
      <c r="N19" s="21">
        <v>40.276000000000003</v>
      </c>
      <c r="O19" s="22">
        <v>60.424999999999997</v>
      </c>
      <c r="P19" s="23">
        <v>4.625</v>
      </c>
      <c r="Q19" s="24">
        <v>20.861999999999998</v>
      </c>
      <c r="R19" s="24">
        <v>16.251000000000001</v>
      </c>
      <c r="S19" s="54">
        <f t="shared" si="3"/>
        <v>28.4878</v>
      </c>
    </row>
    <row r="20" spans="3:19">
      <c r="C20" s="26" t="s">
        <v>2</v>
      </c>
      <c r="D20" s="27"/>
      <c r="E20" s="28"/>
      <c r="F20" s="28"/>
      <c r="G20" s="29"/>
      <c r="H20" s="29"/>
      <c r="I20" s="29"/>
      <c r="J20" s="30"/>
      <c r="L20" s="26" t="s">
        <v>2</v>
      </c>
      <c r="M20" s="27"/>
      <c r="N20" s="28"/>
      <c r="O20" s="28"/>
      <c r="P20" s="29"/>
      <c r="Q20" s="29"/>
      <c r="R20" s="29"/>
      <c r="S20" s="30"/>
    </row>
    <row r="21" spans="3:19">
      <c r="C21" s="31" t="s">
        <v>3</v>
      </c>
      <c r="D21" s="32"/>
      <c r="E21" s="33"/>
      <c r="F21" s="33"/>
      <c r="G21" s="33"/>
      <c r="H21" s="33"/>
      <c r="I21" s="33"/>
      <c r="J21" s="34"/>
      <c r="L21" s="31" t="s">
        <v>3</v>
      </c>
      <c r="M21" s="32"/>
      <c r="N21" s="33"/>
      <c r="O21" s="33"/>
      <c r="P21" s="33"/>
      <c r="Q21" s="33"/>
      <c r="R21" s="33"/>
      <c r="S21" s="34"/>
    </row>
    <row r="25" spans="3:19">
      <c r="C25" s="62" t="s">
        <v>0</v>
      </c>
      <c r="D25" s="64" t="s">
        <v>1</v>
      </c>
      <c r="E25" s="59" t="s">
        <v>8</v>
      </c>
      <c r="F25" s="59"/>
      <c r="G25" s="59"/>
      <c r="H25" s="59"/>
      <c r="I25" s="60"/>
      <c r="J25" s="61"/>
      <c r="L25" s="62" t="s">
        <v>0</v>
      </c>
      <c r="M25" s="64" t="s">
        <v>1</v>
      </c>
      <c r="N25" s="59" t="s">
        <v>13</v>
      </c>
      <c r="O25" s="59"/>
      <c r="P25" s="59"/>
      <c r="Q25" s="59"/>
      <c r="R25" s="60"/>
      <c r="S25" s="61"/>
    </row>
    <row r="26" spans="3:19">
      <c r="C26" s="63"/>
      <c r="D26" s="65"/>
      <c r="E26" s="2">
        <v>1</v>
      </c>
      <c r="F26" s="3">
        <v>2</v>
      </c>
      <c r="G26" s="2">
        <v>3</v>
      </c>
      <c r="H26" s="2">
        <v>4</v>
      </c>
      <c r="I26" s="2">
        <v>5</v>
      </c>
      <c r="J26" s="4" t="s">
        <v>5</v>
      </c>
      <c r="L26" s="63"/>
      <c r="M26" s="65"/>
      <c r="N26" s="2">
        <v>1</v>
      </c>
      <c r="O26" s="3">
        <v>2</v>
      </c>
      <c r="P26" s="2">
        <v>3</v>
      </c>
      <c r="Q26" s="2">
        <v>4</v>
      </c>
      <c r="R26" s="2">
        <v>5</v>
      </c>
      <c r="S26" s="4" t="s">
        <v>12</v>
      </c>
    </row>
    <row r="27" spans="3:19">
      <c r="C27" s="5">
        <v>48</v>
      </c>
      <c r="D27" s="6">
        <v>1.4999999999999999E-2</v>
      </c>
      <c r="E27" s="7"/>
      <c r="F27" s="8"/>
      <c r="G27" s="8"/>
      <c r="H27" s="8"/>
      <c r="I27" s="8"/>
      <c r="J27" s="9" t="e">
        <f t="shared" ref="J27:J31" si="4">AVERAGE(E27:H27)</f>
        <v>#DIV/0!</v>
      </c>
      <c r="L27" s="5">
        <v>48</v>
      </c>
      <c r="M27" s="6">
        <v>1.4999999999999999E-2</v>
      </c>
      <c r="N27" s="7"/>
      <c r="O27" s="8"/>
      <c r="P27" s="8"/>
      <c r="Q27" s="8"/>
      <c r="R27" s="8"/>
      <c r="S27" s="9" t="e">
        <f t="shared" ref="S27:S31" si="5">AVERAGE(N27:Q27)</f>
        <v>#DIV/0!</v>
      </c>
    </row>
    <row r="28" spans="3:19">
      <c r="C28" s="10">
        <v>49</v>
      </c>
      <c r="D28" s="11">
        <v>1.4999999999999999E-2</v>
      </c>
      <c r="E28" s="7"/>
      <c r="F28" s="8"/>
      <c r="G28" s="8"/>
      <c r="H28" s="8"/>
      <c r="I28" s="8"/>
      <c r="J28" s="12" t="e">
        <f t="shared" si="4"/>
        <v>#DIV/0!</v>
      </c>
      <c r="L28" s="10">
        <v>49</v>
      </c>
      <c r="M28" s="11">
        <v>1.4999999999999999E-2</v>
      </c>
      <c r="N28" s="7"/>
      <c r="O28" s="8"/>
      <c r="P28" s="8"/>
      <c r="Q28" s="8"/>
      <c r="R28" s="8"/>
      <c r="S28" s="12" t="e">
        <f t="shared" si="5"/>
        <v>#DIV/0!</v>
      </c>
    </row>
    <row r="29" spans="3:19">
      <c r="C29" s="10">
        <v>50</v>
      </c>
      <c r="D29" s="11">
        <v>1.4999999999999999E-2</v>
      </c>
      <c r="E29" s="7"/>
      <c r="F29" s="8"/>
      <c r="G29" s="8"/>
      <c r="H29" s="8"/>
      <c r="I29" s="8"/>
      <c r="J29" s="12" t="e">
        <f t="shared" si="4"/>
        <v>#DIV/0!</v>
      </c>
      <c r="L29" s="10">
        <v>50</v>
      </c>
      <c r="M29" s="11">
        <v>1.4999999999999999E-2</v>
      </c>
      <c r="N29" s="7"/>
      <c r="O29" s="8"/>
      <c r="P29" s="8"/>
      <c r="Q29" s="8"/>
      <c r="R29" s="8"/>
      <c r="S29" s="12" t="e">
        <f t="shared" si="5"/>
        <v>#DIV/0!</v>
      </c>
    </row>
    <row r="30" spans="3:19">
      <c r="C30" s="10">
        <v>51</v>
      </c>
      <c r="D30" s="11">
        <v>1.4999999999999999E-2</v>
      </c>
      <c r="E30" s="7"/>
      <c r="F30" s="8"/>
      <c r="G30" s="8"/>
      <c r="H30" s="8"/>
      <c r="I30" s="8"/>
      <c r="J30" s="12" t="e">
        <f t="shared" si="4"/>
        <v>#DIV/0!</v>
      </c>
      <c r="L30" s="10">
        <v>51</v>
      </c>
      <c r="M30" s="11">
        <v>1.4999999999999999E-2</v>
      </c>
      <c r="N30" s="7"/>
      <c r="O30" s="8"/>
      <c r="P30" s="8"/>
      <c r="Q30" s="8"/>
      <c r="R30" s="8"/>
      <c r="S30" s="12" t="e">
        <f t="shared" si="5"/>
        <v>#DIV/0!</v>
      </c>
    </row>
    <row r="31" spans="3:19">
      <c r="C31" s="10">
        <v>52</v>
      </c>
      <c r="D31" s="11">
        <v>1.4999999999999999E-2</v>
      </c>
      <c r="E31" s="7"/>
      <c r="F31" s="8"/>
      <c r="G31" s="8"/>
      <c r="H31" s="8"/>
      <c r="I31" s="8"/>
      <c r="J31" s="12" t="e">
        <f t="shared" si="4"/>
        <v>#DIV/0!</v>
      </c>
      <c r="L31" s="10">
        <v>52</v>
      </c>
      <c r="M31" s="11">
        <v>1.4999999999999999E-2</v>
      </c>
      <c r="N31" s="7"/>
      <c r="O31" s="8"/>
      <c r="P31" s="8"/>
      <c r="Q31" s="8"/>
      <c r="R31" s="8"/>
      <c r="S31" s="12" t="e">
        <f t="shared" si="5"/>
        <v>#DIV/0!</v>
      </c>
    </row>
    <row r="32" spans="3:19">
      <c r="C32" s="5">
        <v>55</v>
      </c>
      <c r="D32" s="6">
        <v>0.01</v>
      </c>
      <c r="E32" s="55">
        <v>2842.23</v>
      </c>
      <c r="F32" s="14">
        <v>2894.41</v>
      </c>
      <c r="G32" s="56">
        <v>2871.58</v>
      </c>
      <c r="H32" s="14">
        <v>2991.16</v>
      </c>
      <c r="I32" s="14">
        <v>2921.43</v>
      </c>
      <c r="J32" s="52">
        <f t="shared" ref="J32:J38" si="6">AVERAGE(E32:I32)</f>
        <v>2904.1619999999998</v>
      </c>
      <c r="L32" s="5">
        <v>55</v>
      </c>
      <c r="M32" s="6">
        <v>0.01</v>
      </c>
      <c r="N32" s="55">
        <v>3.9990000000000001</v>
      </c>
      <c r="O32" s="14">
        <v>6.5659999999999998</v>
      </c>
      <c r="P32" s="56">
        <v>5.5030000000000001</v>
      </c>
      <c r="Q32" s="14">
        <v>8.1370000000000005</v>
      </c>
      <c r="R32" s="14">
        <v>8.1300000000000008</v>
      </c>
      <c r="S32" s="52">
        <f t="shared" ref="S32:S38" si="7">AVERAGE(N32:R32)</f>
        <v>6.4670000000000005</v>
      </c>
    </row>
    <row r="33" spans="3:19">
      <c r="C33" s="10">
        <v>56</v>
      </c>
      <c r="D33" s="11">
        <v>0.01</v>
      </c>
      <c r="E33" s="18">
        <v>3106</v>
      </c>
      <c r="F33" s="8">
        <v>3142.46</v>
      </c>
      <c r="G33" s="19">
        <v>3093.51</v>
      </c>
      <c r="H33" s="8">
        <v>3115.44</v>
      </c>
      <c r="I33" s="8">
        <v>3097.29</v>
      </c>
      <c r="J33" s="53">
        <f t="shared" si="6"/>
        <v>3110.94</v>
      </c>
      <c r="L33" s="10">
        <v>56</v>
      </c>
      <c r="M33" s="11">
        <v>0.01</v>
      </c>
      <c r="N33" s="18">
        <v>5.5369999999999999</v>
      </c>
      <c r="O33" s="8">
        <v>6.5750000000000002</v>
      </c>
      <c r="P33" s="19">
        <v>3.411</v>
      </c>
      <c r="Q33" s="8">
        <v>3.774</v>
      </c>
      <c r="R33" s="8">
        <v>4.282</v>
      </c>
      <c r="S33" s="53">
        <f t="shared" si="7"/>
        <v>4.7157999999999998</v>
      </c>
    </row>
    <row r="34" spans="3:19">
      <c r="C34" s="10">
        <v>57</v>
      </c>
      <c r="D34" s="11">
        <v>0.01</v>
      </c>
      <c r="E34" s="7">
        <v>4137.6000000000004</v>
      </c>
      <c r="F34" s="8">
        <v>3594.05</v>
      </c>
      <c r="G34" s="19">
        <v>3634.74</v>
      </c>
      <c r="H34" s="8">
        <v>3806.97</v>
      </c>
      <c r="I34" s="8">
        <v>3676.72</v>
      </c>
      <c r="J34" s="53">
        <f t="shared" si="6"/>
        <v>3770.0159999999996</v>
      </c>
      <c r="L34" s="10">
        <v>57</v>
      </c>
      <c r="M34" s="11">
        <v>0.01</v>
      </c>
      <c r="N34" s="7">
        <v>18.376999999999999</v>
      </c>
      <c r="O34" s="8">
        <v>2.7069999999999999</v>
      </c>
      <c r="P34" s="19">
        <v>6.6059999999999999</v>
      </c>
      <c r="Q34" s="8">
        <v>8.14</v>
      </c>
      <c r="R34" s="8">
        <v>6.5789999999999997</v>
      </c>
      <c r="S34" s="53">
        <f t="shared" si="7"/>
        <v>8.4817999999999998</v>
      </c>
    </row>
    <row r="35" spans="3:19">
      <c r="C35" s="10">
        <v>58</v>
      </c>
      <c r="D35" s="11">
        <v>0.01</v>
      </c>
      <c r="E35" s="7">
        <v>5644.21</v>
      </c>
      <c r="F35" s="8">
        <v>5502.54</v>
      </c>
      <c r="G35" s="19">
        <v>5088.78</v>
      </c>
      <c r="H35" s="8">
        <v>5499.29</v>
      </c>
      <c r="I35" s="8">
        <v>5813.62</v>
      </c>
      <c r="J35" s="53">
        <f t="shared" si="6"/>
        <v>5509.6880000000001</v>
      </c>
      <c r="L35" s="10">
        <v>58</v>
      </c>
      <c r="M35" s="11">
        <v>0.01</v>
      </c>
      <c r="N35" s="7">
        <v>20.939</v>
      </c>
      <c r="O35" s="8">
        <v>18.337</v>
      </c>
      <c r="P35" s="19">
        <v>6.5839999999999996</v>
      </c>
      <c r="Q35" s="8">
        <v>14.442</v>
      </c>
      <c r="R35" s="8">
        <v>24.085999999999999</v>
      </c>
      <c r="S35" s="53">
        <f t="shared" si="7"/>
        <v>16.877600000000001</v>
      </c>
    </row>
    <row r="36" spans="3:19">
      <c r="C36" s="10">
        <v>59</v>
      </c>
      <c r="D36" s="11">
        <v>0.01</v>
      </c>
      <c r="E36" s="7">
        <v>6788.08</v>
      </c>
      <c r="F36" s="8">
        <v>6782.39</v>
      </c>
      <c r="G36" s="19">
        <v>6759.6</v>
      </c>
      <c r="H36" s="8">
        <v>6034.55</v>
      </c>
      <c r="I36" s="8">
        <v>6753.05</v>
      </c>
      <c r="J36" s="53">
        <f t="shared" si="6"/>
        <v>6623.5339999999997</v>
      </c>
      <c r="L36" s="10">
        <v>59</v>
      </c>
      <c r="M36" s="11">
        <v>0.01</v>
      </c>
      <c r="N36" s="7">
        <v>4.5759999999999996</v>
      </c>
      <c r="O36" s="8">
        <v>6.5739999999999998</v>
      </c>
      <c r="P36" s="19">
        <v>5.4930000000000003</v>
      </c>
      <c r="Q36" s="8">
        <v>1.97</v>
      </c>
      <c r="R36" s="8">
        <v>5.492</v>
      </c>
      <c r="S36" s="53">
        <f t="shared" si="7"/>
        <v>4.8209999999999997</v>
      </c>
    </row>
    <row r="37" spans="3:19">
      <c r="C37" s="10">
        <v>60</v>
      </c>
      <c r="D37" s="11">
        <v>0.01</v>
      </c>
      <c r="E37" s="7">
        <v>7724.41</v>
      </c>
      <c r="F37" s="8">
        <v>7725.49</v>
      </c>
      <c r="G37" s="19">
        <v>7629.7</v>
      </c>
      <c r="H37" s="8">
        <v>7638.24</v>
      </c>
      <c r="I37" s="8">
        <v>7628.04</v>
      </c>
      <c r="J37" s="53">
        <f t="shared" si="6"/>
        <v>7669.1759999999995</v>
      </c>
      <c r="L37" s="10">
        <v>60</v>
      </c>
      <c r="M37" s="11">
        <v>0.01</v>
      </c>
      <c r="N37" s="7">
        <v>11.23</v>
      </c>
      <c r="O37" s="8">
        <v>8.1329999999999991</v>
      </c>
      <c r="P37" s="19">
        <v>5.0469999999999997</v>
      </c>
      <c r="Q37" s="8">
        <v>6.5940000000000003</v>
      </c>
      <c r="R37" s="8">
        <v>5.4809999999999999</v>
      </c>
      <c r="S37" s="53">
        <f t="shared" si="7"/>
        <v>7.2969999999999997</v>
      </c>
    </row>
    <row r="38" spans="3:19">
      <c r="C38" s="20">
        <v>61</v>
      </c>
      <c r="D38" s="1">
        <v>0.01</v>
      </c>
      <c r="E38" s="21">
        <v>10832.02</v>
      </c>
      <c r="F38" s="22">
        <v>11118.72</v>
      </c>
      <c r="G38" s="23">
        <v>10614.04</v>
      </c>
      <c r="H38" s="24">
        <v>11831.96</v>
      </c>
      <c r="I38" s="24">
        <v>11180.54</v>
      </c>
      <c r="J38" s="54">
        <f t="shared" si="6"/>
        <v>11115.456</v>
      </c>
      <c r="L38" s="20">
        <v>61</v>
      </c>
      <c r="M38" s="1">
        <v>0.01</v>
      </c>
      <c r="N38" s="21">
        <v>20.803000000000001</v>
      </c>
      <c r="O38" s="22">
        <v>27.26</v>
      </c>
      <c r="P38" s="23">
        <v>12.786</v>
      </c>
      <c r="Q38" s="24">
        <v>46.338000000000001</v>
      </c>
      <c r="R38" s="24">
        <v>30.898</v>
      </c>
      <c r="S38" s="54">
        <f t="shared" si="7"/>
        <v>27.617000000000001</v>
      </c>
    </row>
    <row r="39" spans="3:19">
      <c r="C39" s="26" t="s">
        <v>2</v>
      </c>
      <c r="D39" s="27"/>
      <c r="E39" s="28"/>
      <c r="F39" s="28"/>
      <c r="G39" s="29"/>
      <c r="H39" s="29"/>
      <c r="I39" s="29"/>
      <c r="J39" s="30"/>
      <c r="L39" s="26" t="s">
        <v>2</v>
      </c>
      <c r="M39" s="27"/>
      <c r="N39" s="28"/>
      <c r="O39" s="28"/>
      <c r="P39" s="29"/>
      <c r="Q39" s="29"/>
      <c r="R39" s="29"/>
      <c r="S39" s="30"/>
    </row>
    <row r="40" spans="3:19">
      <c r="C40" s="31" t="s">
        <v>3</v>
      </c>
      <c r="D40" s="32"/>
      <c r="E40" s="33"/>
      <c r="F40" s="33"/>
      <c r="G40" s="33"/>
      <c r="H40" s="33"/>
      <c r="I40" s="33"/>
      <c r="J40" s="34"/>
      <c r="L40" s="31" t="s">
        <v>3</v>
      </c>
      <c r="M40" s="32"/>
      <c r="N40" s="33"/>
      <c r="O40" s="33"/>
      <c r="P40" s="33"/>
      <c r="Q40" s="33"/>
      <c r="R40" s="33"/>
      <c r="S40" s="34"/>
    </row>
    <row r="44" spans="3:19">
      <c r="C44" s="62" t="s">
        <v>0</v>
      </c>
      <c r="D44" s="64" t="s">
        <v>1</v>
      </c>
      <c r="E44" s="59" t="s">
        <v>22</v>
      </c>
      <c r="F44" s="59"/>
      <c r="G44" s="59"/>
      <c r="H44" s="59"/>
      <c r="I44" s="60"/>
      <c r="J44" s="61"/>
      <c r="L44" s="62" t="s">
        <v>0</v>
      </c>
      <c r="M44" s="64" t="s">
        <v>1</v>
      </c>
      <c r="N44" s="59" t="s">
        <v>23</v>
      </c>
      <c r="O44" s="59"/>
      <c r="P44" s="59"/>
      <c r="Q44" s="59"/>
      <c r="R44" s="60"/>
      <c r="S44" s="61"/>
    </row>
    <row r="45" spans="3:19">
      <c r="C45" s="63"/>
      <c r="D45" s="65"/>
      <c r="E45" s="2">
        <v>1</v>
      </c>
      <c r="F45" s="3">
        <v>2</v>
      </c>
      <c r="G45" s="2">
        <v>3</v>
      </c>
      <c r="H45" s="2">
        <v>4</v>
      </c>
      <c r="I45" s="2">
        <v>5</v>
      </c>
      <c r="J45" s="4" t="s">
        <v>5</v>
      </c>
      <c r="L45" s="63"/>
      <c r="M45" s="65"/>
      <c r="N45" s="2">
        <v>1</v>
      </c>
      <c r="O45" s="3">
        <v>2</v>
      </c>
      <c r="P45" s="2">
        <v>3</v>
      </c>
      <c r="Q45" s="2">
        <v>4</v>
      </c>
      <c r="R45" s="2">
        <v>5</v>
      </c>
      <c r="S45" s="4" t="s">
        <v>12</v>
      </c>
    </row>
    <row r="46" spans="3:19">
      <c r="C46" s="5">
        <v>48</v>
      </c>
      <c r="D46" s="6">
        <v>1.4999999999999999E-2</v>
      </c>
      <c r="E46" s="7"/>
      <c r="F46" s="8"/>
      <c r="G46" s="8"/>
      <c r="H46" s="8"/>
      <c r="I46" s="8"/>
      <c r="J46" s="9" t="e">
        <f t="shared" ref="J46:J50" si="8">AVERAGE(E46:H46)</f>
        <v>#DIV/0!</v>
      </c>
      <c r="L46" s="5">
        <v>48</v>
      </c>
      <c r="M46" s="6">
        <v>1.4999999999999999E-2</v>
      </c>
      <c r="N46" s="7"/>
      <c r="O46" s="8"/>
      <c r="P46" s="8"/>
      <c r="Q46" s="8"/>
      <c r="R46" s="8"/>
      <c r="S46" s="9" t="e">
        <f t="shared" ref="S46:S50" si="9">AVERAGE(N46:Q46)</f>
        <v>#DIV/0!</v>
      </c>
    </row>
    <row r="47" spans="3:19">
      <c r="C47" s="10">
        <v>49</v>
      </c>
      <c r="D47" s="11">
        <v>1.4999999999999999E-2</v>
      </c>
      <c r="E47" s="7"/>
      <c r="F47" s="8"/>
      <c r="G47" s="8"/>
      <c r="H47" s="8"/>
      <c r="I47" s="8"/>
      <c r="J47" s="12" t="e">
        <f t="shared" si="8"/>
        <v>#DIV/0!</v>
      </c>
      <c r="L47" s="10">
        <v>49</v>
      </c>
      <c r="M47" s="11">
        <v>1.4999999999999999E-2</v>
      </c>
      <c r="N47" s="7"/>
      <c r="O47" s="8"/>
      <c r="P47" s="8"/>
      <c r="Q47" s="8"/>
      <c r="R47" s="8"/>
      <c r="S47" s="12" t="e">
        <f t="shared" si="9"/>
        <v>#DIV/0!</v>
      </c>
    </row>
    <row r="48" spans="3:19">
      <c r="C48" s="10">
        <v>50</v>
      </c>
      <c r="D48" s="11">
        <v>1.4999999999999999E-2</v>
      </c>
      <c r="E48" s="7"/>
      <c r="F48" s="8"/>
      <c r="G48" s="8"/>
      <c r="H48" s="8"/>
      <c r="I48" s="8"/>
      <c r="J48" s="12" t="e">
        <f t="shared" si="8"/>
        <v>#DIV/0!</v>
      </c>
      <c r="L48" s="10">
        <v>50</v>
      </c>
      <c r="M48" s="11">
        <v>1.4999999999999999E-2</v>
      </c>
      <c r="N48" s="7"/>
      <c r="O48" s="8"/>
      <c r="P48" s="8"/>
      <c r="Q48" s="8"/>
      <c r="R48" s="8"/>
      <c r="S48" s="12" t="e">
        <f t="shared" si="9"/>
        <v>#DIV/0!</v>
      </c>
    </row>
    <row r="49" spans="3:19">
      <c r="C49" s="10">
        <v>51</v>
      </c>
      <c r="D49" s="11">
        <v>1.4999999999999999E-2</v>
      </c>
      <c r="E49" s="7"/>
      <c r="F49" s="8"/>
      <c r="G49" s="8"/>
      <c r="H49" s="8"/>
      <c r="I49" s="8"/>
      <c r="J49" s="12" t="e">
        <f t="shared" si="8"/>
        <v>#DIV/0!</v>
      </c>
      <c r="L49" s="10">
        <v>51</v>
      </c>
      <c r="M49" s="11">
        <v>1.4999999999999999E-2</v>
      </c>
      <c r="N49" s="7"/>
      <c r="O49" s="8"/>
      <c r="P49" s="8"/>
      <c r="Q49" s="8"/>
      <c r="R49" s="8"/>
      <c r="S49" s="12" t="e">
        <f t="shared" si="9"/>
        <v>#DIV/0!</v>
      </c>
    </row>
    <row r="50" spans="3:19">
      <c r="C50" s="10">
        <v>52</v>
      </c>
      <c r="D50" s="11">
        <v>1.4999999999999999E-2</v>
      </c>
      <c r="E50" s="7"/>
      <c r="F50" s="8"/>
      <c r="G50" s="8"/>
      <c r="H50" s="8"/>
      <c r="I50" s="8"/>
      <c r="J50" s="12" t="e">
        <f t="shared" si="8"/>
        <v>#DIV/0!</v>
      </c>
      <c r="L50" s="10">
        <v>52</v>
      </c>
      <c r="M50" s="11">
        <v>1.4999999999999999E-2</v>
      </c>
      <c r="N50" s="7"/>
      <c r="O50" s="8"/>
      <c r="P50" s="8"/>
      <c r="Q50" s="8"/>
      <c r="R50" s="8"/>
      <c r="S50" s="12" t="e">
        <f t="shared" si="9"/>
        <v>#DIV/0!</v>
      </c>
    </row>
    <row r="51" spans="3:19">
      <c r="C51" s="5">
        <v>55</v>
      </c>
      <c r="D51" s="6">
        <v>0.01</v>
      </c>
      <c r="E51" s="55">
        <v>5082.83</v>
      </c>
      <c r="F51" s="14">
        <v>5227.22</v>
      </c>
      <c r="G51" s="56"/>
      <c r="H51" s="14"/>
      <c r="I51" s="14"/>
      <c r="J51" s="52">
        <f t="shared" ref="J51:J57" si="10">AVERAGE(E51:I51)</f>
        <v>5155.0249999999996</v>
      </c>
      <c r="L51" s="5">
        <v>55</v>
      </c>
      <c r="M51" s="6">
        <v>0.01</v>
      </c>
      <c r="N51" s="55">
        <v>5.0590000000000002</v>
      </c>
      <c r="O51" s="14">
        <v>10.066000000000001</v>
      </c>
      <c r="P51" s="56"/>
      <c r="Q51" s="14"/>
      <c r="R51" s="14"/>
      <c r="S51" s="52">
        <f t="shared" ref="S51:S57" si="11">AVERAGE(N51:R51)</f>
        <v>7.5625</v>
      </c>
    </row>
    <row r="52" spans="3:19">
      <c r="C52" s="10">
        <v>56</v>
      </c>
      <c r="D52" s="11">
        <v>0.01</v>
      </c>
      <c r="E52" s="18">
        <v>9386.26</v>
      </c>
      <c r="F52" s="8">
        <v>9543.84</v>
      </c>
      <c r="G52" s="19"/>
      <c r="H52" s="8"/>
      <c r="I52" s="8"/>
      <c r="J52" s="53">
        <f t="shared" si="10"/>
        <v>9465.0499999999993</v>
      </c>
      <c r="L52" s="10">
        <v>56</v>
      </c>
      <c r="M52" s="11">
        <v>0.01</v>
      </c>
      <c r="N52" s="18">
        <v>2.0289999999999999</v>
      </c>
      <c r="O52" s="8">
        <v>7.2990000000000004</v>
      </c>
      <c r="P52" s="19"/>
      <c r="Q52" s="8"/>
      <c r="R52" s="8"/>
      <c r="S52" s="53">
        <f t="shared" si="11"/>
        <v>4.6639999999999997</v>
      </c>
    </row>
    <row r="53" spans="3:19">
      <c r="C53" s="10">
        <v>57</v>
      </c>
      <c r="D53" s="11">
        <v>0.01</v>
      </c>
      <c r="E53" s="7">
        <v>9689.82</v>
      </c>
      <c r="F53" s="8">
        <v>9702.59</v>
      </c>
      <c r="G53" s="19"/>
      <c r="H53" s="8"/>
      <c r="I53" s="8"/>
      <c r="J53" s="53">
        <f t="shared" si="10"/>
        <v>9696.2049999999999</v>
      </c>
      <c r="L53" s="10">
        <v>57</v>
      </c>
      <c r="M53" s="11">
        <v>0.01</v>
      </c>
      <c r="N53" s="7">
        <v>3.9769999999999999</v>
      </c>
      <c r="O53" s="8">
        <v>5.0460000000000003</v>
      </c>
      <c r="P53" s="19"/>
      <c r="Q53" s="8"/>
      <c r="R53" s="8"/>
      <c r="S53" s="53">
        <f t="shared" si="11"/>
        <v>4.5114999999999998</v>
      </c>
    </row>
    <row r="54" spans="3:19">
      <c r="C54" s="10">
        <v>58</v>
      </c>
      <c r="D54" s="11">
        <v>0.01</v>
      </c>
      <c r="E54" s="7">
        <v>13392.43</v>
      </c>
      <c r="F54" s="8">
        <v>13735.31</v>
      </c>
      <c r="G54" s="19"/>
      <c r="H54" s="8"/>
      <c r="I54" s="8"/>
      <c r="J54" s="53">
        <f t="shared" si="10"/>
        <v>13563.869999999999</v>
      </c>
      <c r="L54" s="10">
        <v>58</v>
      </c>
      <c r="M54" s="11">
        <v>0.01</v>
      </c>
      <c r="N54" s="7">
        <v>2.71</v>
      </c>
      <c r="O54" s="8">
        <v>14.429</v>
      </c>
      <c r="P54" s="19"/>
      <c r="Q54" s="8"/>
      <c r="R54" s="8"/>
      <c r="S54" s="53">
        <f t="shared" si="11"/>
        <v>8.5694999999999997</v>
      </c>
    </row>
    <row r="55" spans="3:19">
      <c r="C55" s="10">
        <v>59</v>
      </c>
      <c r="D55" s="11">
        <v>0.01</v>
      </c>
      <c r="E55" s="7">
        <v>15893.11</v>
      </c>
      <c r="F55" s="8">
        <v>16014.77</v>
      </c>
      <c r="G55" s="19"/>
      <c r="H55" s="8"/>
      <c r="I55" s="8"/>
      <c r="J55" s="53">
        <f t="shared" si="10"/>
        <v>15953.94</v>
      </c>
      <c r="L55" s="10">
        <v>59</v>
      </c>
      <c r="M55" s="11">
        <v>0.01</v>
      </c>
      <c r="N55" s="7">
        <v>3.411</v>
      </c>
      <c r="O55" s="8">
        <v>4.28</v>
      </c>
      <c r="P55" s="19"/>
      <c r="Q55" s="8"/>
      <c r="R55" s="8"/>
      <c r="S55" s="53">
        <f t="shared" si="11"/>
        <v>3.8455000000000004</v>
      </c>
    </row>
    <row r="56" spans="3:19">
      <c r="C56" s="10">
        <v>60</v>
      </c>
      <c r="D56" s="11">
        <v>0.01</v>
      </c>
      <c r="E56" s="7">
        <v>18299.490000000002</v>
      </c>
      <c r="F56" s="8">
        <v>18307.080000000002</v>
      </c>
      <c r="G56" s="19"/>
      <c r="H56" s="8"/>
      <c r="I56" s="8"/>
      <c r="J56" s="53">
        <f t="shared" si="10"/>
        <v>18303.285000000003</v>
      </c>
      <c r="L56" s="10">
        <v>60</v>
      </c>
      <c r="M56" s="11">
        <v>0.01</v>
      </c>
      <c r="N56" s="7">
        <v>2.8109999999999999</v>
      </c>
      <c r="O56" s="8">
        <v>4.2969999999999997</v>
      </c>
      <c r="P56" s="19"/>
      <c r="Q56" s="8"/>
      <c r="R56" s="8"/>
      <c r="S56" s="53">
        <f t="shared" si="11"/>
        <v>3.5539999999999998</v>
      </c>
    </row>
    <row r="57" spans="3:19">
      <c r="C57" s="20">
        <v>61</v>
      </c>
      <c r="D57" s="1">
        <v>0.01</v>
      </c>
      <c r="E57" s="21">
        <v>23200.09</v>
      </c>
      <c r="F57" s="22"/>
      <c r="G57" s="23"/>
      <c r="H57" s="24"/>
      <c r="I57" s="24"/>
      <c r="J57" s="54">
        <f t="shared" si="10"/>
        <v>23200.09</v>
      </c>
      <c r="L57" s="20">
        <v>61</v>
      </c>
      <c r="M57" s="1">
        <v>0.01</v>
      </c>
      <c r="N57" s="21">
        <v>3.7690000000000001</v>
      </c>
      <c r="O57" s="22"/>
      <c r="P57" s="23"/>
      <c r="Q57" s="24"/>
      <c r="R57" s="24"/>
      <c r="S57" s="54">
        <f t="shared" si="11"/>
        <v>3.7690000000000001</v>
      </c>
    </row>
    <row r="58" spans="3:19">
      <c r="C58" s="26" t="s">
        <v>2</v>
      </c>
      <c r="D58" s="27"/>
      <c r="E58" s="28"/>
      <c r="F58" s="28"/>
      <c r="G58" s="29"/>
      <c r="H58" s="29"/>
      <c r="I58" s="29"/>
      <c r="J58" s="30"/>
      <c r="L58" s="26" t="s">
        <v>2</v>
      </c>
      <c r="M58" s="27"/>
      <c r="N58" s="28"/>
      <c r="O58" s="28"/>
      <c r="P58" s="29"/>
      <c r="Q58" s="29"/>
      <c r="R58" s="29"/>
      <c r="S58" s="30"/>
    </row>
    <row r="59" spans="3:19">
      <c r="C59" s="31" t="s">
        <v>3</v>
      </c>
      <c r="D59" s="32"/>
      <c r="E59" s="33"/>
      <c r="F59" s="33"/>
      <c r="G59" s="33"/>
      <c r="H59" s="33"/>
      <c r="I59" s="33"/>
      <c r="J59" s="34"/>
      <c r="L59" s="31" t="s">
        <v>3</v>
      </c>
      <c r="M59" s="32"/>
      <c r="N59" s="33"/>
      <c r="O59" s="33"/>
      <c r="P59" s="33"/>
      <c r="Q59" s="33"/>
      <c r="R59" s="33"/>
      <c r="S59" s="34"/>
    </row>
  </sheetData>
  <mergeCells count="18">
    <mergeCell ref="L6:L7"/>
    <mergeCell ref="M6:M7"/>
    <mergeCell ref="N6:S6"/>
    <mergeCell ref="L25:L26"/>
    <mergeCell ref="M25:M26"/>
    <mergeCell ref="N25:S25"/>
    <mergeCell ref="C6:C7"/>
    <mergeCell ref="D6:D7"/>
    <mergeCell ref="E6:J6"/>
    <mergeCell ref="C25:C26"/>
    <mergeCell ref="D25:D26"/>
    <mergeCell ref="E25:J25"/>
    <mergeCell ref="N44:S44"/>
    <mergeCell ref="C44:C45"/>
    <mergeCell ref="D44:D45"/>
    <mergeCell ref="E44:J44"/>
    <mergeCell ref="L44:L45"/>
    <mergeCell ref="M44:M4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7D473-5328-8D45-8500-E506197ADFD1}">
  <dimension ref="C6:K22"/>
  <sheetViews>
    <sheetView workbookViewId="0">
      <selection activeCell="K8" sqref="K8:K20"/>
    </sheetView>
  </sheetViews>
  <sheetFormatPr baseColWidth="10" defaultRowHeight="15"/>
  <cols>
    <col min="6" max="6" width="23.6640625" customWidth="1"/>
    <col min="11" max="11" width="16.1640625" customWidth="1"/>
  </cols>
  <sheetData>
    <row r="6" spans="3:11">
      <c r="C6" s="62" t="s">
        <v>0</v>
      </c>
      <c r="D6" s="64" t="s">
        <v>1</v>
      </c>
      <c r="E6" s="59" t="s">
        <v>9</v>
      </c>
      <c r="F6" s="61"/>
      <c r="H6" s="62" t="s">
        <v>0</v>
      </c>
      <c r="I6" s="64" t="s">
        <v>1</v>
      </c>
      <c r="J6" s="59" t="s">
        <v>26</v>
      </c>
      <c r="K6" s="61"/>
    </row>
    <row r="7" spans="3:11">
      <c r="C7" s="63"/>
      <c r="D7" s="65"/>
      <c r="E7" s="2">
        <v>1</v>
      </c>
      <c r="F7" s="4" t="s">
        <v>5</v>
      </c>
      <c r="H7" s="63"/>
      <c r="I7" s="65"/>
      <c r="J7" s="2">
        <v>1</v>
      </c>
      <c r="K7" s="4" t="s">
        <v>5</v>
      </c>
    </row>
    <row r="8" spans="3:11">
      <c r="C8" s="5">
        <v>48</v>
      </c>
      <c r="D8" s="6">
        <v>1.4999999999999999E-2</v>
      </c>
      <c r="E8" s="7">
        <v>2927.85</v>
      </c>
      <c r="F8" s="9">
        <f t="shared" ref="F8:F20" si="0">AVERAGE(E8:E8)</f>
        <v>2927.85</v>
      </c>
      <c r="H8" s="5">
        <v>48</v>
      </c>
      <c r="I8" s="6">
        <v>1.4999999999999999E-2</v>
      </c>
      <c r="J8" s="7">
        <v>5.5030000000000001</v>
      </c>
      <c r="K8" s="9">
        <f t="shared" ref="K8:K20" si="1">AVERAGE(J8:J8)</f>
        <v>5.5030000000000001</v>
      </c>
    </row>
    <row r="9" spans="3:11">
      <c r="C9" s="10">
        <v>49</v>
      </c>
      <c r="D9" s="11">
        <v>1.4999999999999999E-2</v>
      </c>
      <c r="E9" s="7">
        <v>4846.13</v>
      </c>
      <c r="F9" s="12">
        <f t="shared" si="0"/>
        <v>4846.13</v>
      </c>
      <c r="H9" s="10">
        <v>49</v>
      </c>
      <c r="I9" s="11">
        <v>1.4999999999999999E-2</v>
      </c>
      <c r="J9" s="7">
        <v>5.9898999999999996</v>
      </c>
      <c r="K9" s="12">
        <f t="shared" si="1"/>
        <v>5.9898999999999996</v>
      </c>
    </row>
    <row r="10" spans="3:11">
      <c r="C10" s="10">
        <v>50</v>
      </c>
      <c r="D10" s="11">
        <v>1.4999999999999999E-2</v>
      </c>
      <c r="E10" s="7">
        <v>7998.75</v>
      </c>
      <c r="F10" s="12">
        <f t="shared" si="0"/>
        <v>7998.75</v>
      </c>
      <c r="H10" s="10">
        <v>50</v>
      </c>
      <c r="I10" s="11">
        <v>1.4999999999999999E-2</v>
      </c>
      <c r="J10" s="7">
        <v>6.0156999999999998</v>
      </c>
      <c r="K10" s="12">
        <f t="shared" si="1"/>
        <v>6.0156999999999998</v>
      </c>
    </row>
    <row r="11" spans="3:11">
      <c r="C11" s="10">
        <v>51</v>
      </c>
      <c r="D11" s="11">
        <v>1.4999999999999999E-2</v>
      </c>
      <c r="E11" s="7">
        <v>12447.27</v>
      </c>
      <c r="F11" s="12">
        <f t="shared" si="0"/>
        <v>12447.27</v>
      </c>
      <c r="H11" s="10">
        <v>51</v>
      </c>
      <c r="I11" s="11">
        <v>1.4999999999999999E-2</v>
      </c>
      <c r="J11" s="7">
        <v>6.5507999999999997</v>
      </c>
      <c r="K11" s="12">
        <f t="shared" si="1"/>
        <v>6.5507999999999997</v>
      </c>
    </row>
    <row r="12" spans="3:11">
      <c r="C12" s="10">
        <v>52</v>
      </c>
      <c r="D12" s="11">
        <v>1.4999999999999999E-2</v>
      </c>
      <c r="E12" s="7">
        <v>18780.95</v>
      </c>
      <c r="F12" s="12">
        <f t="shared" si="0"/>
        <v>18780.95</v>
      </c>
      <c r="H12" s="10">
        <v>52</v>
      </c>
      <c r="I12" s="11">
        <v>1.4999999999999999E-2</v>
      </c>
      <c r="J12" s="7">
        <v>8.1190999999999995</v>
      </c>
      <c r="K12" s="12">
        <f t="shared" si="1"/>
        <v>8.1190999999999995</v>
      </c>
    </row>
    <row r="13" spans="3:11">
      <c r="C13" s="5">
        <v>54</v>
      </c>
      <c r="D13" s="6">
        <v>0.01</v>
      </c>
      <c r="E13" s="13">
        <v>1611.19</v>
      </c>
      <c r="F13" s="17">
        <f t="shared" si="0"/>
        <v>1611.19</v>
      </c>
      <c r="H13" s="5">
        <v>54</v>
      </c>
      <c r="I13" s="6">
        <v>0.01</v>
      </c>
      <c r="J13" s="13">
        <v>4.633</v>
      </c>
      <c r="K13" s="17">
        <f t="shared" si="1"/>
        <v>4.633</v>
      </c>
    </row>
    <row r="14" spans="3:11">
      <c r="C14" s="10">
        <v>55</v>
      </c>
      <c r="D14" s="11">
        <v>0.01</v>
      </c>
      <c r="E14" s="18">
        <v>4092.76</v>
      </c>
      <c r="F14" s="12">
        <f t="shared" si="0"/>
        <v>4092.76</v>
      </c>
      <c r="H14" s="10">
        <v>55</v>
      </c>
      <c r="I14" s="11">
        <v>0.01</v>
      </c>
      <c r="J14" s="18">
        <v>5.9001000000000001</v>
      </c>
      <c r="K14" s="12">
        <f t="shared" si="1"/>
        <v>5.9001000000000001</v>
      </c>
    </row>
    <row r="15" spans="3:11">
      <c r="C15" s="10">
        <v>56</v>
      </c>
      <c r="D15" s="11">
        <v>0.01</v>
      </c>
      <c r="E15" s="18">
        <v>3314.65</v>
      </c>
      <c r="F15" s="12">
        <f t="shared" si="0"/>
        <v>3314.65</v>
      </c>
      <c r="H15" s="10">
        <v>56</v>
      </c>
      <c r="I15" s="11">
        <v>0.01</v>
      </c>
      <c r="J15" s="18">
        <v>4.6466000000000003</v>
      </c>
      <c r="K15" s="12">
        <f t="shared" si="1"/>
        <v>4.6466000000000003</v>
      </c>
    </row>
    <row r="16" spans="3:11">
      <c r="C16" s="10">
        <v>57</v>
      </c>
      <c r="D16" s="11">
        <v>0.01</v>
      </c>
      <c r="E16" s="7">
        <v>5409.96</v>
      </c>
      <c r="F16" s="12">
        <f t="shared" si="0"/>
        <v>5409.96</v>
      </c>
      <c r="H16" s="10">
        <v>57</v>
      </c>
      <c r="I16" s="11">
        <v>0.01</v>
      </c>
      <c r="J16" s="7">
        <v>6.5407000000000002</v>
      </c>
      <c r="K16" s="12">
        <f t="shared" si="1"/>
        <v>6.5407000000000002</v>
      </c>
    </row>
    <row r="17" spans="3:11">
      <c r="C17" s="10">
        <v>58</v>
      </c>
      <c r="D17" s="11">
        <v>0.01</v>
      </c>
      <c r="E17" s="7">
        <v>7211.49</v>
      </c>
      <c r="F17" s="12">
        <f t="shared" si="0"/>
        <v>7211.49</v>
      </c>
      <c r="H17" s="10">
        <v>58</v>
      </c>
      <c r="I17" s="11">
        <v>0.01</v>
      </c>
      <c r="J17" s="7">
        <v>8.1150000000000002</v>
      </c>
      <c r="K17" s="12">
        <f t="shared" si="1"/>
        <v>8.1150000000000002</v>
      </c>
    </row>
    <row r="18" spans="3:11">
      <c r="C18" s="10">
        <v>59</v>
      </c>
      <c r="D18" s="11">
        <v>0.01</v>
      </c>
      <c r="E18" s="7">
        <v>17251.79</v>
      </c>
      <c r="F18" s="12">
        <f t="shared" si="0"/>
        <v>17251.79</v>
      </c>
      <c r="H18" s="10">
        <v>59</v>
      </c>
      <c r="I18" s="11">
        <v>0.01</v>
      </c>
      <c r="J18" s="7">
        <v>12.7987</v>
      </c>
      <c r="K18" s="12">
        <f t="shared" si="1"/>
        <v>12.7987</v>
      </c>
    </row>
    <row r="19" spans="3:11">
      <c r="C19" s="10">
        <v>60</v>
      </c>
      <c r="D19" s="11">
        <v>0.01</v>
      </c>
      <c r="E19" s="7">
        <v>15738.62</v>
      </c>
      <c r="F19" s="12">
        <f t="shared" si="0"/>
        <v>15738.62</v>
      </c>
      <c r="H19" s="10">
        <v>60</v>
      </c>
      <c r="I19" s="11">
        <v>0.01</v>
      </c>
      <c r="J19" s="7">
        <v>11.222899999999999</v>
      </c>
      <c r="K19" s="12">
        <f t="shared" si="1"/>
        <v>11.222899999999999</v>
      </c>
    </row>
    <row r="20" spans="3:11">
      <c r="C20" s="20">
        <v>61</v>
      </c>
      <c r="D20" s="1">
        <v>0.01</v>
      </c>
      <c r="E20" s="21">
        <v>37882.410000000003</v>
      </c>
      <c r="F20" s="25">
        <f t="shared" si="0"/>
        <v>37882.410000000003</v>
      </c>
      <c r="H20" s="20">
        <v>61</v>
      </c>
      <c r="I20" s="1">
        <v>0.01</v>
      </c>
      <c r="J20" s="21">
        <v>18.3033</v>
      </c>
      <c r="K20" s="25">
        <f t="shared" si="1"/>
        <v>18.3033</v>
      </c>
    </row>
    <row r="21" spans="3:11">
      <c r="C21" s="26" t="s">
        <v>2</v>
      </c>
      <c r="D21" s="27"/>
      <c r="E21" s="28"/>
      <c r="F21" s="30"/>
      <c r="H21" s="26" t="s">
        <v>2</v>
      </c>
      <c r="I21" s="27"/>
      <c r="J21" s="28"/>
      <c r="K21" s="30"/>
    </row>
    <row r="22" spans="3:11">
      <c r="C22" s="31" t="s">
        <v>3</v>
      </c>
      <c r="D22" s="32"/>
      <c r="E22" s="33"/>
      <c r="F22" s="34"/>
      <c r="H22" s="31" t="s">
        <v>3</v>
      </c>
      <c r="I22" s="32"/>
      <c r="J22" s="33"/>
      <c r="K22" s="34"/>
    </row>
  </sheetData>
  <mergeCells count="6">
    <mergeCell ref="J6:K6"/>
    <mergeCell ref="C6:C7"/>
    <mergeCell ref="D6:D7"/>
    <mergeCell ref="E6:F6"/>
    <mergeCell ref="H6:H7"/>
    <mergeCell ref="I6:I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FBDB3-8DC6-2740-915A-3AB6FE1849E8}">
  <dimension ref="B6:T43"/>
  <sheetViews>
    <sheetView topLeftCell="B1" zoomScale="62" workbookViewId="0">
      <selection activeCell="T18" sqref="T18"/>
    </sheetView>
  </sheetViews>
  <sheetFormatPr baseColWidth="10" defaultRowHeight="15"/>
  <cols>
    <col min="1" max="4" width="10.83203125" style="40"/>
    <col min="5" max="5" width="32" style="40" customWidth="1"/>
    <col min="6" max="7" width="29.1640625" style="40" customWidth="1"/>
    <col min="8" max="8" width="24.6640625" style="40" customWidth="1"/>
    <col min="9" max="9" width="25.1640625" style="40" customWidth="1"/>
    <col min="10" max="10" width="27.83203125" style="40" customWidth="1"/>
    <col min="11" max="11" width="10.83203125" style="40"/>
    <col min="12" max="14" width="11" style="40" bestFit="1" customWidth="1"/>
    <col min="15" max="15" width="13" style="40" bestFit="1" customWidth="1"/>
    <col min="16" max="17" width="13.1640625" style="40" bestFit="1" customWidth="1"/>
    <col min="18" max="20" width="13" style="40" bestFit="1" customWidth="1"/>
    <col min="21" max="16384" width="10.83203125" style="40"/>
  </cols>
  <sheetData>
    <row r="6" spans="2:20" ht="15" customHeight="1">
      <c r="B6" s="69" t="s">
        <v>10</v>
      </c>
      <c r="C6" s="69"/>
      <c r="D6" s="69"/>
      <c r="E6" s="69"/>
      <c r="F6" s="69"/>
      <c r="G6" s="69"/>
      <c r="H6" s="69"/>
      <c r="I6" s="69"/>
      <c r="J6" s="69"/>
      <c r="L6" s="69" t="s">
        <v>27</v>
      </c>
      <c r="M6" s="69"/>
      <c r="N6" s="69"/>
      <c r="O6" s="69"/>
      <c r="P6" s="69"/>
      <c r="Q6" s="69"/>
      <c r="R6" s="69"/>
      <c r="S6" s="69"/>
      <c r="T6" s="69"/>
    </row>
    <row r="7" spans="2:20" ht="68" customHeight="1">
      <c r="B7" s="2" t="s">
        <v>0</v>
      </c>
      <c r="C7" s="2" t="s">
        <v>1</v>
      </c>
      <c r="D7" s="2" t="s">
        <v>9</v>
      </c>
      <c r="E7" s="44" t="s">
        <v>4</v>
      </c>
      <c r="F7" s="44" t="s">
        <v>17</v>
      </c>
      <c r="G7" s="44" t="s">
        <v>18</v>
      </c>
      <c r="H7" s="44" t="s">
        <v>7</v>
      </c>
      <c r="I7" s="44" t="s">
        <v>19</v>
      </c>
      <c r="J7" s="44" t="s">
        <v>20</v>
      </c>
      <c r="L7" s="2" t="s">
        <v>0</v>
      </c>
      <c r="M7" s="2" t="s">
        <v>1</v>
      </c>
      <c r="N7" s="2" t="s">
        <v>9</v>
      </c>
      <c r="O7" s="44" t="s">
        <v>4</v>
      </c>
      <c r="P7" s="44" t="s">
        <v>17</v>
      </c>
      <c r="Q7" s="44" t="s">
        <v>18</v>
      </c>
      <c r="R7" s="44" t="s">
        <v>7</v>
      </c>
      <c r="S7" s="44" t="s">
        <v>19</v>
      </c>
      <c r="T7" s="44" t="s">
        <v>20</v>
      </c>
    </row>
    <row r="8" spans="2:20">
      <c r="B8" s="2">
        <v>48</v>
      </c>
      <c r="C8" s="2">
        <v>1.4999999999999999E-2</v>
      </c>
      <c r="D8" s="2">
        <v>2927.85</v>
      </c>
      <c r="E8" s="45"/>
      <c r="F8" s="45"/>
      <c r="G8" s="45"/>
      <c r="H8" s="45"/>
      <c r="I8" s="46"/>
      <c r="J8" s="46"/>
      <c r="L8" s="2">
        <v>48</v>
      </c>
      <c r="M8" s="2">
        <v>1.4999999999999999E-2</v>
      </c>
      <c r="N8" s="2">
        <v>2927.85</v>
      </c>
      <c r="O8" s="45"/>
      <c r="P8" s="45"/>
      <c r="Q8" s="45"/>
      <c r="R8" s="45"/>
      <c r="S8" s="46"/>
      <c r="T8" s="46"/>
    </row>
    <row r="9" spans="2:20">
      <c r="B9" s="2">
        <v>49</v>
      </c>
      <c r="C9" s="2">
        <v>1.4999999999999999E-2</v>
      </c>
      <c r="D9" s="2">
        <v>4846.13</v>
      </c>
      <c r="E9" s="45"/>
      <c r="F9" s="45"/>
      <c r="G9" s="45"/>
      <c r="H9" s="45"/>
      <c r="I9" s="46"/>
      <c r="J9" s="46"/>
      <c r="L9" s="2">
        <v>49</v>
      </c>
      <c r="M9" s="2">
        <v>1.4999999999999999E-2</v>
      </c>
      <c r="N9" s="2">
        <v>4846.13</v>
      </c>
      <c r="O9" s="45"/>
      <c r="P9" s="45"/>
      <c r="Q9" s="45"/>
      <c r="R9" s="45"/>
      <c r="S9" s="46"/>
      <c r="T9" s="46"/>
    </row>
    <row r="10" spans="2:20">
      <c r="B10" s="2">
        <v>50</v>
      </c>
      <c r="C10" s="2">
        <v>1.4999999999999999E-2</v>
      </c>
      <c r="D10" s="2">
        <v>7998.75</v>
      </c>
      <c r="E10" s="45"/>
      <c r="F10" s="45"/>
      <c r="G10" s="45"/>
      <c r="H10" s="45"/>
      <c r="I10" s="46"/>
      <c r="J10" s="46"/>
      <c r="L10" s="2">
        <v>50</v>
      </c>
      <c r="M10" s="2">
        <v>1.4999999999999999E-2</v>
      </c>
      <c r="N10" s="2">
        <v>7998.75</v>
      </c>
      <c r="O10" s="45"/>
      <c r="P10" s="45"/>
      <c r="Q10" s="45"/>
      <c r="R10" s="45"/>
      <c r="S10" s="46"/>
      <c r="T10" s="46"/>
    </row>
    <row r="11" spans="2:20">
      <c r="B11" s="2">
        <v>51</v>
      </c>
      <c r="C11" s="2">
        <v>1.4999999999999999E-2</v>
      </c>
      <c r="D11" s="2">
        <v>12447.27</v>
      </c>
      <c r="E11" s="45"/>
      <c r="F11" s="45"/>
      <c r="G11" s="45"/>
      <c r="H11" s="45"/>
      <c r="I11" s="46"/>
      <c r="J11" s="46"/>
      <c r="L11" s="2">
        <v>51</v>
      </c>
      <c r="M11" s="2">
        <v>1.4999999999999999E-2</v>
      </c>
      <c r="N11" s="2">
        <v>12447.27</v>
      </c>
      <c r="O11" s="45"/>
      <c r="P11" s="45"/>
      <c r="Q11" s="45"/>
      <c r="R11" s="45"/>
      <c r="S11" s="46"/>
      <c r="T11" s="46"/>
    </row>
    <row r="12" spans="2:20">
      <c r="B12" s="2">
        <v>52</v>
      </c>
      <c r="C12" s="2">
        <v>1.4999999999999999E-2</v>
      </c>
      <c r="D12" s="2">
        <v>18780.95</v>
      </c>
      <c r="E12" s="45"/>
      <c r="F12" s="45"/>
      <c r="G12" s="45"/>
      <c r="H12" s="45"/>
      <c r="I12" s="46"/>
      <c r="J12" s="46"/>
      <c r="L12" s="2">
        <v>52</v>
      </c>
      <c r="M12" s="2">
        <v>1.4999999999999999E-2</v>
      </c>
      <c r="N12" s="2">
        <v>18780.95</v>
      </c>
      <c r="O12" s="45"/>
      <c r="P12" s="45"/>
      <c r="Q12" s="45"/>
      <c r="R12" s="45"/>
      <c r="S12" s="46"/>
      <c r="T12" s="46"/>
    </row>
    <row r="13" spans="2:20">
      <c r="B13" s="2">
        <v>53</v>
      </c>
      <c r="C13" s="2">
        <v>1.4999999999999999E-2</v>
      </c>
      <c r="E13" s="45"/>
      <c r="F13" s="45"/>
      <c r="G13" s="42"/>
      <c r="H13" s="45"/>
      <c r="I13" s="46"/>
      <c r="J13" s="46"/>
      <c r="L13" s="2">
        <v>53</v>
      </c>
      <c r="M13" s="2">
        <v>1.4999999999999999E-2</v>
      </c>
      <c r="O13" s="45"/>
      <c r="P13" s="45"/>
      <c r="Q13" s="45"/>
      <c r="R13" s="45"/>
      <c r="S13" s="46"/>
      <c r="T13" s="46"/>
    </row>
    <row r="14" spans="2:20">
      <c r="B14" s="2">
        <v>55</v>
      </c>
      <c r="C14" s="2">
        <v>0.01</v>
      </c>
      <c r="D14" s="2">
        <v>4092.76</v>
      </c>
      <c r="E14" s="45">
        <v>905.68</v>
      </c>
      <c r="F14" s="45">
        <v>1604.4599999999998</v>
      </c>
      <c r="G14" s="42">
        <v>6329.52</v>
      </c>
      <c r="H14" s="45">
        <v>1122.252</v>
      </c>
      <c r="I14" s="46">
        <v>2904.1619999999998</v>
      </c>
      <c r="J14" s="46">
        <v>5155.0249999999996</v>
      </c>
      <c r="L14" s="2">
        <v>55</v>
      </c>
      <c r="M14" s="2">
        <v>0.01</v>
      </c>
      <c r="N14" s="2">
        <f>$D$14/D14</f>
        <v>1</v>
      </c>
      <c r="O14" s="2">
        <f>$D$14/E14</f>
        <v>4.5189912551894711</v>
      </c>
      <c r="P14" s="2">
        <f>F14/E14</f>
        <v>1.7715528663545621</v>
      </c>
      <c r="Q14" s="2">
        <f>G14/E14</f>
        <v>6.9886935783058046</v>
      </c>
      <c r="R14" s="2">
        <f t="shared" ref="R14:T14" si="0">$D$14/H14</f>
        <v>3.6469170917048936</v>
      </c>
      <c r="S14" s="2">
        <f t="shared" si="0"/>
        <v>1.4092740005550657</v>
      </c>
      <c r="T14" s="2">
        <f t="shared" si="0"/>
        <v>0.79393601388936053</v>
      </c>
    </row>
    <row r="15" spans="2:20">
      <c r="B15" s="2">
        <v>56</v>
      </c>
      <c r="C15" s="2">
        <v>0.01</v>
      </c>
      <c r="D15" s="2">
        <v>3314.65</v>
      </c>
      <c r="E15" s="45">
        <v>892.46800000000007</v>
      </c>
      <c r="F15" s="45">
        <v>1805.396</v>
      </c>
      <c r="G15" s="42">
        <v>7006.0249999999996</v>
      </c>
      <c r="H15" s="45">
        <v>1361.2060000000001</v>
      </c>
      <c r="I15" s="46">
        <v>3110.94</v>
      </c>
      <c r="J15" s="46">
        <v>9465.0499999999993</v>
      </c>
      <c r="L15" s="2">
        <v>56</v>
      </c>
      <c r="M15" s="2">
        <v>0.01</v>
      </c>
      <c r="N15" s="2">
        <f>$D$15/D15</f>
        <v>1</v>
      </c>
      <c r="O15" s="2">
        <f>$D$15/E15</f>
        <v>3.7140267214062574</v>
      </c>
      <c r="P15" s="2">
        <f t="shared" ref="P15:P20" si="1">F15/E15</f>
        <v>2.0229251917155571</v>
      </c>
      <c r="Q15" s="2">
        <f t="shared" ref="Q15:Q20" si="2">G15/E15</f>
        <v>7.8501694178390702</v>
      </c>
      <c r="R15" s="2">
        <f t="shared" ref="R15:T15" si="3">$D$15/H15</f>
        <v>2.4350833011314963</v>
      </c>
      <c r="S15" s="2">
        <f t="shared" si="3"/>
        <v>1.0654818157855825</v>
      </c>
      <c r="T15" s="2">
        <f t="shared" si="3"/>
        <v>0.35019888959910411</v>
      </c>
    </row>
    <row r="16" spans="2:20">
      <c r="B16" s="2">
        <v>57</v>
      </c>
      <c r="C16" s="2">
        <v>0.01</v>
      </c>
      <c r="D16" s="2">
        <v>5409.96</v>
      </c>
      <c r="E16" s="45">
        <v>1417.3440000000001</v>
      </c>
      <c r="F16" s="45">
        <v>3575.2340000000004</v>
      </c>
      <c r="G16" s="42">
        <v>6922.92</v>
      </c>
      <c r="H16" s="45">
        <v>1788.3539999999998</v>
      </c>
      <c r="I16" s="46">
        <v>3770.0159999999996</v>
      </c>
      <c r="J16" s="46">
        <v>9696.2049999999999</v>
      </c>
      <c r="L16" s="2">
        <v>57</v>
      </c>
      <c r="M16" s="2">
        <v>0.01</v>
      </c>
      <c r="N16" s="2">
        <f>$D$16/D16</f>
        <v>1</v>
      </c>
      <c r="O16" s="2">
        <f>$D$16/E16</f>
        <v>3.8169703332430234</v>
      </c>
      <c r="P16" s="2">
        <f t="shared" si="1"/>
        <v>2.5224885419488849</v>
      </c>
      <c r="Q16" s="2">
        <f t="shared" si="2"/>
        <v>4.8844317258195611</v>
      </c>
      <c r="R16" s="2">
        <f t="shared" ref="R16:T16" si="4">$D$16/H16</f>
        <v>3.0251057676500293</v>
      </c>
      <c r="S16" s="2">
        <f t="shared" si="4"/>
        <v>1.4349965623488072</v>
      </c>
      <c r="T16" s="2">
        <f t="shared" si="4"/>
        <v>0.55794612428264456</v>
      </c>
    </row>
    <row r="17" spans="2:20">
      <c r="B17" s="2">
        <v>58</v>
      </c>
      <c r="C17" s="2">
        <v>0.01</v>
      </c>
      <c r="D17" s="2">
        <v>7211.49</v>
      </c>
      <c r="E17" s="45">
        <v>1831.3020000000001</v>
      </c>
      <c r="F17" s="45">
        <v>4078.1759999999995</v>
      </c>
      <c r="G17" s="42">
        <v>12940.575000000001</v>
      </c>
      <c r="H17" s="45">
        <v>2551.7860000000001</v>
      </c>
      <c r="I17" s="46">
        <v>5509.6880000000001</v>
      </c>
      <c r="J17" s="46">
        <v>13563.869999999999</v>
      </c>
      <c r="L17" s="2">
        <v>58</v>
      </c>
      <c r="M17" s="2">
        <v>0.01</v>
      </c>
      <c r="N17" s="2">
        <f>$D$17/D17</f>
        <v>1</v>
      </c>
      <c r="O17" s="2">
        <f>$D$17/E17</f>
        <v>3.9379031967419897</v>
      </c>
      <c r="P17" s="2">
        <f t="shared" si="1"/>
        <v>2.2269270715589231</v>
      </c>
      <c r="Q17" s="2">
        <f t="shared" si="2"/>
        <v>7.0663249425818355</v>
      </c>
      <c r="R17" s="2">
        <f t="shared" ref="R17:T17" si="5">$D$17/H17</f>
        <v>2.8260559466977244</v>
      </c>
      <c r="S17" s="2">
        <f t="shared" si="5"/>
        <v>1.3088744771028775</v>
      </c>
      <c r="T17" s="2">
        <f t="shared" si="5"/>
        <v>0.53166905905173079</v>
      </c>
    </row>
    <row r="18" spans="2:20">
      <c r="B18" s="2">
        <v>59</v>
      </c>
      <c r="C18" s="2">
        <v>0.01</v>
      </c>
      <c r="D18" s="2">
        <v>17251.79</v>
      </c>
      <c r="E18" s="45">
        <v>1811.7939999999999</v>
      </c>
      <c r="F18" s="45">
        <v>5272.6240000000007</v>
      </c>
      <c r="G18" s="42">
        <v>13685.205</v>
      </c>
      <c r="H18" s="45">
        <v>2671.5279999999993</v>
      </c>
      <c r="I18" s="46">
        <v>6623.5339999999997</v>
      </c>
      <c r="J18" s="46">
        <v>15953.94</v>
      </c>
      <c r="L18" s="2">
        <v>59</v>
      </c>
      <c r="M18" s="2">
        <v>0.01</v>
      </c>
      <c r="N18" s="2">
        <f>$D$18/D18</f>
        <v>1</v>
      </c>
      <c r="O18" s="2">
        <f>$D$18/E18</f>
        <v>9.5219379245101834</v>
      </c>
      <c r="P18" s="2">
        <f t="shared" si="1"/>
        <v>2.9101674914477038</v>
      </c>
      <c r="Q18" s="2">
        <f t="shared" si="2"/>
        <v>7.5534001106086013</v>
      </c>
      <c r="R18" s="2">
        <f t="shared" ref="R18:T18" si="6">$D$18/H18</f>
        <v>6.4576489559532995</v>
      </c>
      <c r="S18" s="2">
        <f t="shared" si="6"/>
        <v>2.6046201317906728</v>
      </c>
      <c r="T18" s="2">
        <f t="shared" si="6"/>
        <v>1.0813498107677477</v>
      </c>
    </row>
    <row r="19" spans="2:20">
      <c r="B19" s="2">
        <v>60</v>
      </c>
      <c r="C19" s="2">
        <v>0.01</v>
      </c>
      <c r="D19" s="2">
        <v>15738.62</v>
      </c>
      <c r="E19" s="6">
        <v>2471.5219999999999</v>
      </c>
      <c r="F19" s="6">
        <v>6617.3979999999992</v>
      </c>
      <c r="G19" s="57">
        <v>18841.494999999999</v>
      </c>
      <c r="H19" s="6">
        <v>3235.4679999999998</v>
      </c>
      <c r="I19" s="58">
        <v>7669.1759999999995</v>
      </c>
      <c r="J19" s="58">
        <v>18303.285000000003</v>
      </c>
      <c r="L19" s="2">
        <v>60</v>
      </c>
      <c r="M19" s="2">
        <v>0.01</v>
      </c>
      <c r="N19" s="2">
        <f>$D$19/D19</f>
        <v>1</v>
      </c>
      <c r="O19" s="2">
        <f>$D$19/E19</f>
        <v>6.3679870136701195</v>
      </c>
      <c r="P19" s="2">
        <f t="shared" si="1"/>
        <v>2.6774586671694607</v>
      </c>
      <c r="Q19" s="2">
        <f t="shared" si="2"/>
        <v>7.6234381081778757</v>
      </c>
      <c r="R19" s="2">
        <f t="shared" ref="R19:T19" si="7">$D$19/H19</f>
        <v>4.8644029240901165</v>
      </c>
      <c r="S19" s="2">
        <f t="shared" si="7"/>
        <v>2.0521917869664228</v>
      </c>
      <c r="T19" s="2">
        <f t="shared" si="7"/>
        <v>0.85987952435860548</v>
      </c>
    </row>
    <row r="20" spans="2:20">
      <c r="B20" s="2">
        <v>61</v>
      </c>
      <c r="C20" s="2">
        <v>0.01</v>
      </c>
      <c r="D20" s="2">
        <v>37882.410000000003</v>
      </c>
      <c r="E20" s="45">
        <v>3859.6639999999998</v>
      </c>
      <c r="F20" s="45">
        <v>8447.5099999999984</v>
      </c>
      <c r="G20" s="45">
        <v>27976.12</v>
      </c>
      <c r="H20" s="45">
        <v>4388.0660000000007</v>
      </c>
      <c r="I20" s="46">
        <v>11115.456</v>
      </c>
      <c r="J20" s="46">
        <v>23200.09</v>
      </c>
      <c r="L20" s="2">
        <v>61</v>
      </c>
      <c r="M20" s="2">
        <v>0.01</v>
      </c>
      <c r="N20" s="2">
        <f>$D$20/D20</f>
        <v>1</v>
      </c>
      <c r="O20" s="2">
        <f>$D$20/E20</f>
        <v>9.814950213282815</v>
      </c>
      <c r="P20" s="2">
        <f t="shared" si="1"/>
        <v>2.1886646091473243</v>
      </c>
      <c r="Q20" s="2">
        <f t="shared" si="2"/>
        <v>7.2483304246172722</v>
      </c>
      <c r="R20" s="2">
        <f t="shared" ref="R20:T20" si="8">$D$20/H20</f>
        <v>8.6330538328274908</v>
      </c>
      <c r="S20" s="2">
        <f t="shared" si="8"/>
        <v>3.4080842027533556</v>
      </c>
      <c r="T20" s="2">
        <f t="shared" si="8"/>
        <v>1.6328561656441851</v>
      </c>
    </row>
    <row r="21" spans="2:20">
      <c r="B21" s="2">
        <v>62</v>
      </c>
      <c r="C21" s="2">
        <v>0.01</v>
      </c>
      <c r="D21" s="2"/>
      <c r="E21" s="46"/>
      <c r="F21" s="46"/>
      <c r="G21" s="46"/>
      <c r="H21" s="46"/>
      <c r="I21" s="46"/>
      <c r="J21" s="46"/>
      <c r="L21" s="2">
        <v>62</v>
      </c>
      <c r="M21" s="2">
        <v>0.01</v>
      </c>
      <c r="N21" s="2"/>
      <c r="O21" s="45"/>
      <c r="P21" s="2"/>
      <c r="Q21" s="2"/>
      <c r="R21" s="45"/>
      <c r="S21" s="46"/>
      <c r="T21" s="46"/>
    </row>
    <row r="22" spans="2:20">
      <c r="B22" s="45" t="s">
        <v>2</v>
      </c>
      <c r="C22" s="45"/>
      <c r="D22" s="45"/>
      <c r="E22" s="45"/>
      <c r="F22" s="45"/>
      <c r="G22" s="45"/>
      <c r="H22" s="45"/>
      <c r="I22" s="47"/>
      <c r="J22" s="46"/>
      <c r="L22" s="45" t="s">
        <v>2</v>
      </c>
      <c r="M22" s="45"/>
      <c r="N22" s="45"/>
      <c r="O22" s="51">
        <f t="shared" ref="O22:T22" si="9">MAX(O14:O20)</f>
        <v>9.814950213282815</v>
      </c>
      <c r="P22" s="45">
        <f t="shared" si="9"/>
        <v>2.9101674914477038</v>
      </c>
      <c r="Q22" s="45">
        <f t="shared" si="9"/>
        <v>7.8501694178390702</v>
      </c>
      <c r="R22" s="51">
        <f t="shared" si="9"/>
        <v>8.6330538328274908</v>
      </c>
      <c r="S22" s="45">
        <f t="shared" si="9"/>
        <v>3.4080842027533556</v>
      </c>
      <c r="T22" s="45">
        <f t="shared" si="9"/>
        <v>1.6328561656441851</v>
      </c>
    </row>
    <row r="23" spans="2:20">
      <c r="B23" s="45" t="s">
        <v>3</v>
      </c>
      <c r="C23" s="45"/>
      <c r="D23" s="45"/>
      <c r="E23" s="45"/>
      <c r="F23" s="45"/>
      <c r="G23" s="45"/>
      <c r="H23" s="45"/>
      <c r="I23" s="47"/>
      <c r="J23" s="46"/>
      <c r="L23" s="45" t="s">
        <v>3</v>
      </c>
      <c r="M23" s="45"/>
      <c r="N23" s="45"/>
      <c r="O23" s="51">
        <f t="shared" ref="O23:T23" si="10">MIN(O15:O21)</f>
        <v>3.7140267214062574</v>
      </c>
      <c r="P23" s="45">
        <f t="shared" si="10"/>
        <v>2.0229251917155571</v>
      </c>
      <c r="Q23" s="45">
        <f t="shared" si="10"/>
        <v>4.8844317258195611</v>
      </c>
      <c r="R23" s="51">
        <f t="shared" si="10"/>
        <v>2.4350833011314963</v>
      </c>
      <c r="S23" s="45">
        <f t="shared" si="10"/>
        <v>1.0654818157855825</v>
      </c>
      <c r="T23" s="45">
        <f t="shared" si="10"/>
        <v>0.35019888959910411</v>
      </c>
    </row>
    <row r="26" spans="2:20" ht="15" customHeight="1">
      <c r="B26" s="69" t="s">
        <v>10</v>
      </c>
      <c r="C26" s="69"/>
      <c r="D26" s="69"/>
      <c r="E26" s="69"/>
      <c r="F26" s="69"/>
      <c r="G26" s="69"/>
      <c r="H26" s="69"/>
      <c r="I26" s="69"/>
      <c r="J26" s="69"/>
    </row>
    <row r="27" spans="2:20" ht="60">
      <c r="B27" s="48" t="s">
        <v>0</v>
      </c>
      <c r="C27" s="48" t="s">
        <v>1</v>
      </c>
      <c r="D27" s="48" t="s">
        <v>16</v>
      </c>
      <c r="E27" s="49" t="s">
        <v>14</v>
      </c>
      <c r="F27" s="49" t="s">
        <v>15</v>
      </c>
      <c r="G27" s="49" t="s">
        <v>24</v>
      </c>
      <c r="H27" s="49" t="s">
        <v>11</v>
      </c>
      <c r="I27" s="49" t="s">
        <v>13</v>
      </c>
      <c r="J27" s="50" t="s">
        <v>25</v>
      </c>
    </row>
    <row r="28" spans="2:20">
      <c r="B28" s="39">
        <v>48</v>
      </c>
      <c r="C28" s="39">
        <v>1.4999999999999999E-2</v>
      </c>
      <c r="D28" s="39">
        <v>5.5030000000000001</v>
      </c>
      <c r="E28" s="42"/>
      <c r="F28" s="42"/>
      <c r="G28" s="42"/>
      <c r="H28" s="42"/>
      <c r="I28" s="41"/>
      <c r="J28" s="46"/>
    </row>
    <row r="29" spans="2:20">
      <c r="B29" s="39">
        <v>49</v>
      </c>
      <c r="C29" s="39">
        <v>1.4999999999999999E-2</v>
      </c>
      <c r="D29" s="39">
        <v>5.9898999999999996</v>
      </c>
      <c r="E29" s="42"/>
      <c r="F29" s="42"/>
      <c r="G29" s="42"/>
      <c r="H29" s="42"/>
      <c r="I29" s="41"/>
      <c r="J29" s="46"/>
    </row>
    <row r="30" spans="2:20">
      <c r="B30" s="39">
        <v>50</v>
      </c>
      <c r="C30" s="39">
        <v>1.4999999999999999E-2</v>
      </c>
      <c r="D30" s="39">
        <v>6.0156999999999998</v>
      </c>
      <c r="E30" s="42"/>
      <c r="F30" s="42"/>
      <c r="G30" s="42"/>
      <c r="H30" s="42"/>
      <c r="I30" s="41"/>
      <c r="J30" s="46"/>
    </row>
    <row r="31" spans="2:20">
      <c r="B31" s="39">
        <v>51</v>
      </c>
      <c r="C31" s="39">
        <v>1.4999999999999999E-2</v>
      </c>
      <c r="D31" s="39">
        <v>6.5507999999999997</v>
      </c>
      <c r="E31" s="42"/>
      <c r="F31" s="42"/>
      <c r="G31" s="42"/>
      <c r="H31" s="42"/>
      <c r="I31" s="41"/>
      <c r="J31" s="46"/>
    </row>
    <row r="32" spans="2:20">
      <c r="B32" s="39">
        <v>52</v>
      </c>
      <c r="C32" s="39">
        <v>1.4999999999999999E-2</v>
      </c>
      <c r="D32" s="39">
        <v>8.1190999999999995</v>
      </c>
      <c r="E32" s="42"/>
      <c r="F32" s="42"/>
      <c r="G32" s="42"/>
      <c r="H32" s="42"/>
      <c r="I32" s="41"/>
      <c r="J32" s="46"/>
    </row>
    <row r="33" spans="2:10">
      <c r="B33" s="39">
        <v>53</v>
      </c>
      <c r="C33" s="39">
        <v>1.4999999999999999E-2</v>
      </c>
      <c r="E33" s="42"/>
      <c r="F33" s="42"/>
      <c r="G33" s="42"/>
      <c r="H33" s="42"/>
      <c r="I33" s="41"/>
      <c r="J33" s="46"/>
    </row>
    <row r="34" spans="2:10">
      <c r="B34" s="39">
        <v>55</v>
      </c>
      <c r="C34" s="39">
        <v>0.01</v>
      </c>
      <c r="D34" s="39">
        <v>5.9001000000000001</v>
      </c>
      <c r="E34" s="42">
        <v>5.7221999999999991</v>
      </c>
      <c r="F34" s="42">
        <v>12.215199999999999</v>
      </c>
      <c r="G34" s="46">
        <v>1.9649999999999999</v>
      </c>
      <c r="H34" s="42">
        <v>11.201500000000001</v>
      </c>
      <c r="I34" s="41">
        <v>6.4670000000000005</v>
      </c>
      <c r="J34" s="46">
        <v>7.5625</v>
      </c>
    </row>
    <row r="35" spans="2:10">
      <c r="B35" s="39">
        <v>56</v>
      </c>
      <c r="C35" s="39">
        <v>0.01</v>
      </c>
      <c r="D35" s="39">
        <v>4.6466000000000003</v>
      </c>
      <c r="E35" s="42">
        <v>4.0329999999999995</v>
      </c>
      <c r="F35" s="42">
        <v>11.1204</v>
      </c>
      <c r="G35" s="46">
        <v>2.2324999999999999</v>
      </c>
      <c r="H35" s="42">
        <v>6.2751400000000004</v>
      </c>
      <c r="I35" s="41">
        <v>4.7157999999999998</v>
      </c>
      <c r="J35" s="46">
        <v>4.6639999999999997</v>
      </c>
    </row>
    <row r="36" spans="2:10">
      <c r="B36" s="39">
        <v>57</v>
      </c>
      <c r="C36" s="39">
        <v>0.01</v>
      </c>
      <c r="D36" s="39">
        <v>6.5407000000000002</v>
      </c>
      <c r="E36" s="42">
        <v>14.728800000000001</v>
      </c>
      <c r="F36" s="42">
        <v>22.909600000000001</v>
      </c>
      <c r="G36" s="46">
        <v>1.98</v>
      </c>
      <c r="H36" s="42">
        <v>8.2493999999999996</v>
      </c>
      <c r="I36" s="41">
        <v>8.4817999999999998</v>
      </c>
      <c r="J36" s="46">
        <v>4.5114999999999998</v>
      </c>
    </row>
    <row r="37" spans="2:10">
      <c r="B37" s="39">
        <v>58</v>
      </c>
      <c r="C37" s="39">
        <v>0.01</v>
      </c>
      <c r="D37" s="39">
        <v>8.1150000000000002</v>
      </c>
      <c r="E37" s="42">
        <v>14.731800000000002</v>
      </c>
      <c r="F37" s="42">
        <v>28.102799999999995</v>
      </c>
      <c r="G37" s="46">
        <v>4.41</v>
      </c>
      <c r="H37" s="42">
        <v>18.7454</v>
      </c>
      <c r="I37" s="41">
        <v>16.877600000000001</v>
      </c>
      <c r="J37" s="46">
        <v>8.5694999999999997</v>
      </c>
    </row>
    <row r="38" spans="2:10">
      <c r="B38" s="39">
        <v>59</v>
      </c>
      <c r="C38" s="39">
        <v>0.01</v>
      </c>
      <c r="D38" s="39">
        <v>12.7987</v>
      </c>
      <c r="E38" s="42">
        <v>11.4436</v>
      </c>
      <c r="F38" s="42">
        <v>10.887199999999998</v>
      </c>
      <c r="G38" s="46">
        <v>5.7675000000000001</v>
      </c>
      <c r="H38" s="42">
        <v>5.5810000000000004</v>
      </c>
      <c r="I38" s="41">
        <v>4.8209999999999997</v>
      </c>
      <c r="J38" s="46">
        <v>3.8455000000000004</v>
      </c>
    </row>
    <row r="39" spans="2:10">
      <c r="B39" s="39">
        <v>60</v>
      </c>
      <c r="C39" s="39">
        <v>0.01</v>
      </c>
      <c r="D39" s="39">
        <v>11.222899999999999</v>
      </c>
      <c r="E39" s="42">
        <v>12.428799999999999</v>
      </c>
      <c r="F39" s="42">
        <v>11.136199999999999</v>
      </c>
      <c r="G39" s="46">
        <v>2.88</v>
      </c>
      <c r="H39" s="42">
        <v>9.7688000000000006</v>
      </c>
      <c r="I39" s="41">
        <v>7.2969999999999997</v>
      </c>
      <c r="J39" s="46">
        <v>3.5539999999999998</v>
      </c>
    </row>
    <row r="40" spans="2:10">
      <c r="B40" s="39">
        <v>61</v>
      </c>
      <c r="C40" s="39">
        <v>0.01</v>
      </c>
      <c r="D40" s="39">
        <v>18.3033</v>
      </c>
      <c r="E40" s="42">
        <v>22.785599999999999</v>
      </c>
      <c r="F40" s="42">
        <v>23.715199999999999</v>
      </c>
      <c r="G40" s="46">
        <v>3.28</v>
      </c>
      <c r="H40" s="42">
        <v>28.4878</v>
      </c>
      <c r="I40" s="41">
        <v>27.617000000000001</v>
      </c>
      <c r="J40" s="46">
        <v>3.7690000000000001</v>
      </c>
    </row>
    <row r="41" spans="2:10">
      <c r="B41" s="39">
        <v>62</v>
      </c>
      <c r="C41" s="39">
        <v>0.01</v>
      </c>
      <c r="D41" s="39"/>
      <c r="E41" s="42"/>
      <c r="F41" s="42"/>
      <c r="G41" s="42"/>
      <c r="H41" s="42"/>
      <c r="I41" s="41"/>
      <c r="J41" s="46"/>
    </row>
    <row r="42" spans="2:10">
      <c r="B42" s="42" t="s">
        <v>2</v>
      </c>
      <c r="C42" s="42"/>
      <c r="D42" s="42"/>
      <c r="E42" s="42"/>
      <c r="F42" s="42"/>
      <c r="G42" s="42"/>
      <c r="H42" s="42"/>
      <c r="I42" s="43"/>
      <c r="J42" s="46"/>
    </row>
    <row r="43" spans="2:10">
      <c r="B43" s="42" t="s">
        <v>3</v>
      </c>
      <c r="C43" s="42"/>
      <c r="D43" s="42"/>
      <c r="E43" s="42"/>
      <c r="F43" s="42"/>
      <c r="G43" s="42"/>
      <c r="H43" s="42"/>
      <c r="I43" s="43"/>
      <c r="J43" s="46"/>
    </row>
  </sheetData>
  <mergeCells count="3">
    <mergeCell ref="B6:J6"/>
    <mergeCell ref="B26:J26"/>
    <mergeCell ref="L6:T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ProPnjBKZ(EnumBS)</vt:lpstr>
      <vt:lpstr>ProPnjBKZ(BSSA)</vt:lpstr>
      <vt:lpstr>default G6K</vt:lpstr>
      <vt:lpstr>cost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夏 雯雯</cp:lastModifiedBy>
  <dcterms:created xsi:type="dcterms:W3CDTF">2014-01-14T12:06:47Z</dcterms:created>
  <dcterms:modified xsi:type="dcterms:W3CDTF">2024-05-08T02:39:48Z</dcterms:modified>
</cp:coreProperties>
</file>