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ummer/Documents/GitHub/MyStudy/Artical_in_Public/[2025][Crypto]ProPnjBKZ/8.crypto2025/supplementary_material/supplementary_materials/Fig.6&amp; Table 2/"/>
    </mc:Choice>
  </mc:AlternateContent>
  <xr:revisionPtr revIDLastSave="0" documentId="13_ncr:1_{244294EF-68B9-924A-9B80-9D4DD09A3F35}" xr6:coauthVersionLast="47" xr6:coauthVersionMax="47" xr10:uidLastSave="{00000000-0000-0000-0000-000000000000}"/>
  <bookViews>
    <workbookView xWindow="20" yWindow="0" windowWidth="25600" windowHeight="14900" tabRatio="500" activeTab="3" xr2:uid="{00000000-000D-0000-FFFF-FFFF00000000}"/>
  </bookViews>
  <sheets>
    <sheet name="ProPnjBKZ(EnumBS)" sheetId="1" r:id="rId1"/>
    <sheet name="ProPnjBKZ(BSSA)" sheetId="2" r:id="rId2"/>
    <sheet name="default G6K" sheetId="3" r:id="rId3"/>
    <sheet name="cost 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" i="1" l="1"/>
  <c r="S14" i="1"/>
  <c r="K12" i="3"/>
  <c r="F12" i="3"/>
  <c r="AB11" i="1"/>
  <c r="AB39" i="1"/>
  <c r="AB38" i="1"/>
  <c r="AB37" i="1"/>
  <c r="AB36" i="1"/>
  <c r="AB28" i="1"/>
  <c r="AB27" i="1"/>
  <c r="AB26" i="1"/>
  <c r="AB25" i="1"/>
  <c r="AB13" i="1"/>
  <c r="AB12" i="1"/>
  <c r="AB10" i="1"/>
  <c r="R12" i="4" l="1"/>
  <c r="R13" i="4" s="1"/>
  <c r="R9" i="4"/>
  <c r="R10" i="4"/>
  <c r="R11" i="4"/>
  <c r="R8" i="4"/>
  <c r="O12" i="4"/>
  <c r="O13" i="4" s="1"/>
  <c r="O9" i="4"/>
  <c r="O10" i="4"/>
  <c r="O11" i="4"/>
  <c r="O8" i="4"/>
  <c r="N9" i="4"/>
  <c r="N10" i="4"/>
  <c r="N11" i="4"/>
  <c r="N8" i="4"/>
  <c r="S13" i="1" l="1"/>
  <c r="S12" i="1"/>
  <c r="S11" i="1"/>
  <c r="S10" i="1"/>
  <c r="S28" i="1"/>
  <c r="S27" i="1"/>
  <c r="S26" i="1"/>
  <c r="S25" i="1"/>
  <c r="S39" i="1"/>
  <c r="S38" i="1"/>
  <c r="S37" i="1"/>
  <c r="S36" i="1"/>
  <c r="J39" i="1"/>
  <c r="J38" i="1"/>
  <c r="J37" i="1"/>
  <c r="J36" i="1"/>
  <c r="J28" i="1"/>
  <c r="J27" i="1"/>
  <c r="J26" i="1"/>
  <c r="J25" i="1"/>
  <c r="J13" i="1"/>
  <c r="J12" i="1"/>
  <c r="J11" i="1"/>
  <c r="J10" i="1"/>
  <c r="S11" i="2"/>
  <c r="S10" i="2"/>
  <c r="S9" i="2"/>
  <c r="S8" i="2"/>
  <c r="S23" i="2"/>
  <c r="S22" i="2"/>
  <c r="S21" i="2"/>
  <c r="S20" i="2"/>
  <c r="S34" i="2"/>
  <c r="S33" i="2"/>
  <c r="S32" i="2"/>
  <c r="S31" i="2"/>
  <c r="J34" i="2"/>
  <c r="J33" i="2"/>
  <c r="J32" i="2"/>
  <c r="J31" i="2"/>
  <c r="J23" i="2"/>
  <c r="J22" i="2"/>
  <c r="J21" i="2"/>
  <c r="J20" i="2"/>
  <c r="J11" i="2"/>
  <c r="J10" i="2"/>
  <c r="J9" i="2"/>
  <c r="J8" i="2"/>
  <c r="K9" i="3"/>
  <c r="K10" i="3"/>
  <c r="K11" i="3"/>
  <c r="K8" i="3"/>
  <c r="F9" i="3" l="1"/>
  <c r="F10" i="3"/>
  <c r="F11" i="3"/>
  <c r="F8" i="3"/>
</calcChain>
</file>

<file path=xl/sharedStrings.xml><?xml version="1.0" encoding="utf-8"?>
<sst xmlns="http://schemas.openxmlformats.org/spreadsheetml/2006/main" count="138" uniqueCount="40">
  <si>
    <t>n</t>
    <phoneticPr fontId="1" type="noConversion"/>
  </si>
  <si>
    <t>alpha</t>
    <phoneticPr fontId="1" type="noConversion"/>
  </si>
  <si>
    <t>max ratio</t>
    <phoneticPr fontId="1" type="noConversion"/>
  </si>
  <si>
    <t>min ratio</t>
    <phoneticPr fontId="1" type="noConversion"/>
  </si>
  <si>
    <t>ProPnjBKZ(EnumBS,max_jump&gt;1) time cost/sec</t>
  </si>
  <si>
    <t>avg time cost</t>
  </si>
  <si>
    <t>ProPnjBKZ(EnumBS,max_jump=1) time cost/sec</t>
  </si>
  <si>
    <t>ProPnjBKZ(BSSA,max_jump&gt;1) time cost/sec</t>
  </si>
  <si>
    <t>ProPnjBKZ(BSSA,max_jump=1) time cost/sec</t>
  </si>
  <si>
    <t>default G6K time cost/sec</t>
  </si>
  <si>
    <t>new time cost model</t>
  </si>
  <si>
    <t>ProPnjBKZ(BSSA,max_jump&gt;1) memory cost/GB</t>
    <phoneticPr fontId="1" type="noConversion"/>
  </si>
  <si>
    <t>avg memory cost</t>
    <phoneticPr fontId="1" type="noConversion"/>
  </si>
  <si>
    <t>ProPnjBKZ(BSSA,max_jump=1) memory cost/GB</t>
    <phoneticPr fontId="1" type="noConversion"/>
  </si>
  <si>
    <t>ProPnjBKZ(EnumBS,max_jump&gt;1) memory cost/GB</t>
    <phoneticPr fontId="1" type="noConversion"/>
  </si>
  <si>
    <t>ProPnjBKZ(EnumBS,max_jump=1) memory cost/GB</t>
    <phoneticPr fontId="1" type="noConversion"/>
  </si>
  <si>
    <t>ProPnjBKZ(EnumBS,max_jump=1) time cost/sec</t>
    <phoneticPr fontId="1" type="noConversion"/>
  </si>
  <si>
    <t>ProPnjBKZ(EnumBS,same strategy as max_jump&gt;1,but let jump=1) time cost/sec</t>
    <phoneticPr fontId="1" type="noConversion"/>
  </si>
  <si>
    <t>ProPnjBKZ(BSSA,max_jump=1) time cost/sec</t>
    <phoneticPr fontId="1" type="noConversion"/>
  </si>
  <si>
    <t>ProPnjBKZ(BSSA,same strategy as max_jump&gt;1,but let jump=1)time cost/sec</t>
    <phoneticPr fontId="1" type="noConversion"/>
  </si>
  <si>
    <t>ProPnjBKZ(BSSA,max_jump&gt;1) time cost/sec</t>
    <phoneticPr fontId="1" type="noConversion"/>
  </si>
  <si>
    <t>ProPnjBKZ(BSSA,use strategy max_jump&gt;1 but set jump=1) time cost/sec</t>
    <phoneticPr fontId="1" type="noConversion"/>
  </si>
  <si>
    <t>ProPnjBKZ(BSSA,use strategy max_jump&gt;1 but set jump=1) memory cost/GB</t>
    <phoneticPr fontId="1" type="noConversion"/>
  </si>
  <si>
    <t>ProPnjBKZ(EnumBS,same strategy as max_jump&gt;1,but set jump=1) memory cost/GB</t>
    <phoneticPr fontId="1" type="noConversion"/>
  </si>
  <si>
    <t>ProPnjBKZ(BSSA,same strategy as max_jump&gt;1,but set jump=1) memory cost/GB</t>
    <phoneticPr fontId="1" type="noConversion"/>
  </si>
  <si>
    <t>default G6K memory cost/GB</t>
    <phoneticPr fontId="1" type="noConversion"/>
  </si>
  <si>
    <t>ratio</t>
    <phoneticPr fontId="1" type="noConversion"/>
  </si>
  <si>
    <t>default G6K</t>
    <phoneticPr fontId="1" type="noConversion"/>
  </si>
  <si>
    <t>ProPnjBKZ(EnumBS,max_jump&gt;1)</t>
    <phoneticPr fontId="1" type="noConversion"/>
  </si>
  <si>
    <t xml:space="preserve">ProPnjBKZ(EnumBS,max_jump=1) </t>
    <phoneticPr fontId="1" type="noConversion"/>
  </si>
  <si>
    <t xml:space="preserve">ProPnjBKZ(EnumBS,same strategy as max_jump&gt;1,but let jump=1) </t>
    <phoneticPr fontId="1" type="noConversion"/>
  </si>
  <si>
    <t xml:space="preserve">ProPnjBKZ(BSSA,max_jump&gt;1) </t>
    <phoneticPr fontId="1" type="noConversion"/>
  </si>
  <si>
    <t xml:space="preserve">ProPnjBKZ(BSSA,max_jump=1) </t>
    <phoneticPr fontId="1" type="noConversion"/>
  </si>
  <si>
    <t>ProPnjBKZ(BSSA,same strategy as max_jump&gt;1,but let jump=1)</t>
    <phoneticPr fontId="1" type="noConversion"/>
  </si>
  <si>
    <t>avg time cost/sec</t>
    <phoneticPr fontId="1" type="noConversion"/>
  </si>
  <si>
    <t>ProPnjBKZ(EnumBS,use strategy max_jump&gt;1 but set jump=1) memory cost/GB</t>
    <phoneticPr fontId="1" type="noConversion"/>
  </si>
  <si>
    <t>ProPnjBKZ(EnumBS,use strategy max_jump&gt;1 but set jump=1) time cost/sec</t>
    <phoneticPr fontId="1" type="noConversion"/>
  </si>
  <si>
    <t>Cost of Generating Strategy by EnumBS(threads=10),max_jump&gt;1) time/sec</t>
    <phoneticPr fontId="1" type="noConversion"/>
  </si>
  <si>
    <t>Cost of Generating Strategy by EnumBS(threads=10),max_jump=1) time/sec</t>
    <phoneticPr fontId="1" type="noConversion"/>
  </si>
  <si>
    <t>default G6K  memory cost/GB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</si>
</sst>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2" fillId="0" borderId="37" xfId="0" applyFont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AB41"/>
  <sheetViews>
    <sheetView showRuler="0" topLeftCell="J4" zoomScale="87" zoomScaleNormal="87" workbookViewId="0">
      <selection activeCell="AB19" sqref="AB19"/>
    </sheetView>
  </sheetViews>
  <sheetFormatPr baseColWidth="10" defaultRowHeight="15"/>
  <cols>
    <col min="10" max="10" width="21" customWidth="1"/>
    <col min="19" max="19" width="17.83203125" customWidth="1"/>
    <col min="28" max="28" width="17.33203125" customWidth="1"/>
  </cols>
  <sheetData>
    <row r="8" spans="3:28">
      <c r="C8" s="58" t="s">
        <v>0</v>
      </c>
      <c r="D8" s="60" t="s">
        <v>1</v>
      </c>
      <c r="E8" s="55" t="s">
        <v>4</v>
      </c>
      <c r="F8" s="55"/>
      <c r="G8" s="55"/>
      <c r="H8" s="62"/>
      <c r="I8" s="63"/>
      <c r="J8" s="64"/>
      <c r="L8" s="58" t="s">
        <v>0</v>
      </c>
      <c r="M8" s="60" t="s">
        <v>1</v>
      </c>
      <c r="N8" s="55" t="s">
        <v>14</v>
      </c>
      <c r="O8" s="55"/>
      <c r="P8" s="55"/>
      <c r="Q8" s="62"/>
      <c r="R8" s="63"/>
      <c r="S8" s="64"/>
      <c r="U8" s="58" t="s">
        <v>0</v>
      </c>
      <c r="V8" s="60" t="s">
        <v>1</v>
      </c>
      <c r="W8" s="55" t="s">
        <v>37</v>
      </c>
      <c r="X8" s="55"/>
      <c r="Y8" s="55"/>
      <c r="Z8" s="62"/>
      <c r="AA8" s="63"/>
      <c r="AB8" s="64"/>
    </row>
    <row r="9" spans="3:28">
      <c r="C9" s="59"/>
      <c r="D9" s="61"/>
      <c r="E9" s="1">
        <v>1</v>
      </c>
      <c r="F9" s="2">
        <v>2</v>
      </c>
      <c r="G9" s="42">
        <v>3</v>
      </c>
      <c r="H9" s="51">
        <v>4</v>
      </c>
      <c r="I9" s="42">
        <v>5</v>
      </c>
      <c r="J9" s="37" t="s">
        <v>5</v>
      </c>
      <c r="L9" s="59"/>
      <c r="M9" s="61"/>
      <c r="N9" s="1">
        <v>1</v>
      </c>
      <c r="O9" s="2">
        <v>2</v>
      </c>
      <c r="P9" s="42">
        <v>3</v>
      </c>
      <c r="Q9" s="51">
        <v>4</v>
      </c>
      <c r="R9" s="42">
        <v>5</v>
      </c>
      <c r="S9" s="37" t="s">
        <v>12</v>
      </c>
      <c r="U9" s="59"/>
      <c r="V9" s="61"/>
      <c r="W9" s="1">
        <v>1</v>
      </c>
      <c r="X9" s="2">
        <v>2</v>
      </c>
      <c r="Y9" s="42">
        <v>3</v>
      </c>
      <c r="Z9" s="51">
        <v>4</v>
      </c>
      <c r="AA9" s="42">
        <v>5</v>
      </c>
      <c r="AB9" s="37" t="s">
        <v>34</v>
      </c>
    </row>
    <row r="10" spans="3:28">
      <c r="C10" s="4">
        <v>40</v>
      </c>
      <c r="D10" s="5">
        <v>2.5000000000000001E-2</v>
      </c>
      <c r="E10" s="6">
        <v>736.21</v>
      </c>
      <c r="F10" s="7">
        <v>878.87</v>
      </c>
      <c r="G10" s="46">
        <v>1067.22</v>
      </c>
      <c r="H10" s="43">
        <v>764.71</v>
      </c>
      <c r="I10" s="47">
        <v>718.63</v>
      </c>
      <c r="J10" s="38">
        <f>AVERAGE(E10:I10)</f>
        <v>833.12800000000004</v>
      </c>
      <c r="L10" s="4">
        <v>40</v>
      </c>
      <c r="M10" s="5">
        <v>2.5000000000000001E-2</v>
      </c>
      <c r="N10" s="6">
        <v>5.4790000000000001</v>
      </c>
      <c r="O10" s="7">
        <v>10.106</v>
      </c>
      <c r="P10" s="46">
        <v>16.236000000000001</v>
      </c>
      <c r="Q10" s="43">
        <v>6.55</v>
      </c>
      <c r="R10" s="47">
        <v>5.0220000000000002</v>
      </c>
      <c r="S10" s="38">
        <f>AVERAGE(N10:R10)</f>
        <v>8.6785999999999994</v>
      </c>
      <c r="U10" s="4">
        <v>40</v>
      </c>
      <c r="V10" s="5">
        <v>2.5000000000000001E-2</v>
      </c>
      <c r="W10" s="6">
        <v>17.149999999999999</v>
      </c>
      <c r="X10" s="7">
        <v>18.89</v>
      </c>
      <c r="Y10" s="46">
        <v>17.899999999999999</v>
      </c>
      <c r="Z10" s="43">
        <v>16.920000000000002</v>
      </c>
      <c r="AA10" s="47">
        <v>16.86</v>
      </c>
      <c r="AB10" s="38">
        <f>AVERAGE(W10:AA10)</f>
        <v>17.544</v>
      </c>
    </row>
    <row r="11" spans="3:28">
      <c r="C11" s="8">
        <v>50</v>
      </c>
      <c r="D11" s="9">
        <v>1.4999999999999999E-2</v>
      </c>
      <c r="E11" s="6">
        <v>1211.33</v>
      </c>
      <c r="F11" s="7">
        <v>1584.26</v>
      </c>
      <c r="G11" s="48">
        <v>1431.36</v>
      </c>
      <c r="H11" s="44">
        <v>1150.3699999999999</v>
      </c>
      <c r="I11" s="41">
        <v>1284.02</v>
      </c>
      <c r="J11" s="39">
        <f>AVERAGE(E11:I11)</f>
        <v>1332.268</v>
      </c>
      <c r="L11" s="8">
        <v>50</v>
      </c>
      <c r="M11" s="9">
        <v>1.4999999999999999E-2</v>
      </c>
      <c r="N11" s="6">
        <v>10.026999999999999</v>
      </c>
      <c r="O11" s="7">
        <v>20.727</v>
      </c>
      <c r="P11" s="48">
        <v>16.23</v>
      </c>
      <c r="Q11" s="44">
        <v>8.1080000000000005</v>
      </c>
      <c r="R11" s="41">
        <v>12.817</v>
      </c>
      <c r="S11" s="39">
        <f>AVERAGE(N11:R11)</f>
        <v>13.581799999999998</v>
      </c>
      <c r="U11" s="8">
        <v>50</v>
      </c>
      <c r="V11" s="9">
        <v>1.4999999999999999E-2</v>
      </c>
      <c r="W11" s="6">
        <v>51.56</v>
      </c>
      <c r="X11" s="7">
        <v>54.23</v>
      </c>
      <c r="Y11" s="48">
        <v>51.68</v>
      </c>
      <c r="Z11" s="44">
        <v>52.51</v>
      </c>
      <c r="AA11" s="41">
        <v>52.81</v>
      </c>
      <c r="AB11" s="39">
        <f>AVERAGE(W11:AA11)</f>
        <v>52.557999999999993</v>
      </c>
    </row>
    <row r="12" spans="3:28">
      <c r="C12" s="8">
        <v>45</v>
      </c>
      <c r="D12" s="9">
        <v>0.02</v>
      </c>
      <c r="E12" s="6">
        <v>1169.25</v>
      </c>
      <c r="F12" s="7">
        <v>1215.18</v>
      </c>
      <c r="G12" s="48">
        <v>1101.27</v>
      </c>
      <c r="H12" s="44">
        <v>1053.6199999999999</v>
      </c>
      <c r="I12" s="41">
        <v>1357.52</v>
      </c>
      <c r="J12" s="39">
        <f>AVERAGE(E12:I12)</f>
        <v>1179.3679999999999</v>
      </c>
      <c r="L12" s="8">
        <v>45</v>
      </c>
      <c r="M12" s="9">
        <v>0.02</v>
      </c>
      <c r="N12" s="6">
        <v>9.032</v>
      </c>
      <c r="O12" s="7">
        <v>10.061999999999999</v>
      </c>
      <c r="P12" s="48">
        <v>5.9960000000000004</v>
      </c>
      <c r="Q12" s="44">
        <v>3.766</v>
      </c>
      <c r="R12" s="41">
        <v>14.443</v>
      </c>
      <c r="S12" s="39">
        <f>AVERAGE(N12:R12)</f>
        <v>8.6598000000000006</v>
      </c>
      <c r="U12" s="8">
        <v>45</v>
      </c>
      <c r="V12" s="9">
        <v>0.02</v>
      </c>
      <c r="W12" s="6">
        <v>31.87</v>
      </c>
      <c r="X12" s="7">
        <v>32.89</v>
      </c>
      <c r="Y12" s="48">
        <v>32.200000000000003</v>
      </c>
      <c r="Z12" s="44">
        <v>33.659999999999997</v>
      </c>
      <c r="AA12" s="41">
        <v>32.4</v>
      </c>
      <c r="AB12" s="39">
        <f>AVERAGE(W12:AA12)</f>
        <v>32.603999999999999</v>
      </c>
    </row>
    <row r="13" spans="3:28">
      <c r="C13" s="8">
        <v>40</v>
      </c>
      <c r="D13" s="9">
        <v>0.03</v>
      </c>
      <c r="E13" s="6">
        <v>5080.72</v>
      </c>
      <c r="F13" s="7">
        <v>6702.85</v>
      </c>
      <c r="G13" s="7">
        <v>3515.85</v>
      </c>
      <c r="H13" s="7">
        <v>3719.3</v>
      </c>
      <c r="I13" s="7">
        <v>4835.96</v>
      </c>
      <c r="J13" s="39">
        <f>AVERAGE(E13:I13)</f>
        <v>4770.9359999999997</v>
      </c>
      <c r="L13" s="8">
        <v>40</v>
      </c>
      <c r="M13" s="9">
        <v>0.03</v>
      </c>
      <c r="N13" s="6">
        <v>60.44</v>
      </c>
      <c r="O13" s="7">
        <v>79.519000000000005</v>
      </c>
      <c r="P13" s="7">
        <v>35.116</v>
      </c>
      <c r="Q13" s="7">
        <v>40.009</v>
      </c>
      <c r="R13" s="7">
        <v>60.911999999999999</v>
      </c>
      <c r="S13" s="39">
        <f>AVERAGE(N13:R13)</f>
        <v>55.199199999999998</v>
      </c>
      <c r="U13" s="8">
        <v>40</v>
      </c>
      <c r="V13" s="9">
        <v>0.03</v>
      </c>
      <c r="W13" s="6">
        <v>73.14</v>
      </c>
      <c r="X13" s="7">
        <v>73.5</v>
      </c>
      <c r="Y13" s="7">
        <v>71.61</v>
      </c>
      <c r="Z13" s="7">
        <v>70.88</v>
      </c>
      <c r="AA13" s="7">
        <v>71.08</v>
      </c>
      <c r="AB13" s="39">
        <f>AVERAGE(W13:AA13)</f>
        <v>72.042000000000002</v>
      </c>
    </row>
    <row r="14" spans="3:28">
      <c r="C14" s="8">
        <v>40</v>
      </c>
      <c r="D14" s="52">
        <v>3.5000000000000003E-2</v>
      </c>
      <c r="E14" s="6">
        <v>181352.06</v>
      </c>
      <c r="F14" s="7"/>
      <c r="G14" s="11"/>
      <c r="H14" s="11"/>
      <c r="I14" s="11"/>
      <c r="J14" s="54">
        <f>AVERAGE(E14:I14)</f>
        <v>181352.06</v>
      </c>
      <c r="L14" s="8">
        <v>40</v>
      </c>
      <c r="M14" s="52">
        <v>3.5000000000000003E-2</v>
      </c>
      <c r="N14" s="6">
        <v>326.303</v>
      </c>
      <c r="O14" s="7"/>
      <c r="P14" s="11"/>
      <c r="Q14" s="11"/>
      <c r="R14" s="11"/>
      <c r="S14" s="54">
        <f>AVERAGE(N14:R14)</f>
        <v>326.303</v>
      </c>
      <c r="U14" s="8">
        <v>40</v>
      </c>
      <c r="V14" s="52">
        <v>3.5000000000000003E-2</v>
      </c>
      <c r="W14" s="6"/>
      <c r="X14" s="7"/>
      <c r="Y14" s="11"/>
      <c r="Z14" s="11"/>
      <c r="AA14" s="11"/>
      <c r="AB14" s="40">
        <v>140.69</v>
      </c>
    </row>
    <row r="15" spans="3:28">
      <c r="C15" s="12" t="s">
        <v>2</v>
      </c>
      <c r="D15" s="13"/>
      <c r="E15" s="14"/>
      <c r="F15" s="14"/>
      <c r="G15" s="15"/>
      <c r="H15" s="15"/>
      <c r="I15" s="15"/>
      <c r="J15" s="16"/>
      <c r="L15" s="12" t="s">
        <v>2</v>
      </c>
      <c r="M15" s="13"/>
      <c r="N15" s="14"/>
      <c r="O15" s="14"/>
      <c r="P15" s="15"/>
      <c r="Q15" s="15"/>
      <c r="R15" s="15"/>
      <c r="S15" s="16"/>
      <c r="U15" s="12" t="s">
        <v>2</v>
      </c>
      <c r="V15" s="13"/>
      <c r="W15" s="14"/>
      <c r="X15" s="14"/>
      <c r="Y15" s="15"/>
      <c r="Z15" s="15"/>
      <c r="AA15" s="15"/>
      <c r="AB15" s="16"/>
    </row>
    <row r="16" spans="3:28">
      <c r="C16" s="17" t="s">
        <v>3</v>
      </c>
      <c r="D16" s="18"/>
      <c r="E16" s="19"/>
      <c r="F16" s="19"/>
      <c r="G16" s="19"/>
      <c r="H16" s="19"/>
      <c r="I16" s="19"/>
      <c r="J16" s="20"/>
      <c r="L16" s="17" t="s">
        <v>3</v>
      </c>
      <c r="M16" s="18"/>
      <c r="N16" s="19"/>
      <c r="O16" s="19"/>
      <c r="P16" s="19"/>
      <c r="Q16" s="19"/>
      <c r="R16" s="19"/>
      <c r="S16" s="20"/>
      <c r="U16" s="17" t="s">
        <v>3</v>
      </c>
      <c r="V16" s="18"/>
      <c r="W16" s="19"/>
      <c r="X16" s="19"/>
      <c r="Y16" s="19"/>
      <c r="Z16" s="19"/>
      <c r="AA16" s="19"/>
      <c r="AB16" s="20"/>
    </row>
    <row r="23" spans="3:28">
      <c r="C23" s="58" t="s">
        <v>0</v>
      </c>
      <c r="D23" s="60" t="s">
        <v>1</v>
      </c>
      <c r="E23" s="55" t="s">
        <v>6</v>
      </c>
      <c r="F23" s="55"/>
      <c r="G23" s="55"/>
      <c r="H23" s="62"/>
      <c r="I23" s="63"/>
      <c r="J23" s="64"/>
      <c r="L23" s="58" t="s">
        <v>0</v>
      </c>
      <c r="M23" s="60" t="s">
        <v>1</v>
      </c>
      <c r="N23" s="55" t="s">
        <v>15</v>
      </c>
      <c r="O23" s="55"/>
      <c r="P23" s="55"/>
      <c r="Q23" s="62"/>
      <c r="R23" s="63"/>
      <c r="S23" s="64"/>
      <c r="U23" s="58" t="s">
        <v>0</v>
      </c>
      <c r="V23" s="60" t="s">
        <v>1</v>
      </c>
      <c r="W23" s="55" t="s">
        <v>38</v>
      </c>
      <c r="X23" s="55"/>
      <c r="Y23" s="55"/>
      <c r="Z23" s="62"/>
      <c r="AA23" s="63"/>
      <c r="AB23" s="64"/>
    </row>
    <row r="24" spans="3:28">
      <c r="C24" s="59"/>
      <c r="D24" s="61"/>
      <c r="E24" s="1">
        <v>1</v>
      </c>
      <c r="F24" s="2">
        <v>2</v>
      </c>
      <c r="G24" s="1">
        <v>3</v>
      </c>
      <c r="H24" s="22">
        <v>4</v>
      </c>
      <c r="I24" s="1">
        <v>5</v>
      </c>
      <c r="J24" s="24" t="s">
        <v>5</v>
      </c>
      <c r="L24" s="59"/>
      <c r="M24" s="61"/>
      <c r="N24" s="1">
        <v>1</v>
      </c>
      <c r="O24" s="2">
        <v>2</v>
      </c>
      <c r="P24" s="1">
        <v>3</v>
      </c>
      <c r="Q24" s="22">
        <v>4</v>
      </c>
      <c r="R24" s="1">
        <v>5</v>
      </c>
      <c r="S24" s="37" t="s">
        <v>12</v>
      </c>
      <c r="U24" s="59"/>
      <c r="V24" s="61"/>
      <c r="W24" s="1">
        <v>1</v>
      </c>
      <c r="X24" s="2">
        <v>2</v>
      </c>
      <c r="Y24" s="42">
        <v>3</v>
      </c>
      <c r="Z24" s="51">
        <v>4</v>
      </c>
      <c r="AA24" s="42">
        <v>5</v>
      </c>
      <c r="AB24" s="37" t="s">
        <v>34</v>
      </c>
    </row>
    <row r="25" spans="3:28">
      <c r="C25" s="4">
        <v>40</v>
      </c>
      <c r="D25" s="5">
        <v>2.5000000000000001E-2</v>
      </c>
      <c r="E25" s="6">
        <v>1238.4100000000001</v>
      </c>
      <c r="F25" s="7">
        <v>1345.99</v>
      </c>
      <c r="G25" s="21">
        <v>1513.48</v>
      </c>
      <c r="H25" s="23">
        <v>2057.29</v>
      </c>
      <c r="I25" s="21">
        <v>1721.36</v>
      </c>
      <c r="J25" s="38">
        <f>AVERAGE(E25:I25)</f>
        <v>1575.306</v>
      </c>
      <c r="L25" s="4">
        <v>40</v>
      </c>
      <c r="M25" s="5">
        <v>2.5000000000000001E-2</v>
      </c>
      <c r="N25" s="6">
        <v>11.246</v>
      </c>
      <c r="O25" s="7">
        <v>14.439</v>
      </c>
      <c r="P25" s="21">
        <v>16.212</v>
      </c>
      <c r="Q25" s="23">
        <v>27.254000000000001</v>
      </c>
      <c r="R25" s="21">
        <v>21.212</v>
      </c>
      <c r="S25" s="38">
        <f>AVERAGE(N25:R25)</f>
        <v>18.072600000000001</v>
      </c>
      <c r="U25" s="4">
        <v>40</v>
      </c>
      <c r="V25" s="5">
        <v>2.5000000000000001E-2</v>
      </c>
      <c r="W25" s="6"/>
      <c r="X25" s="7"/>
      <c r="Y25" s="46"/>
      <c r="Z25" s="43"/>
      <c r="AA25" s="47"/>
      <c r="AB25" s="38" t="e">
        <f>AVERAGE(W25:AA25)</f>
        <v>#DIV/0!</v>
      </c>
    </row>
    <row r="26" spans="3:28">
      <c r="C26" s="8">
        <v>50</v>
      </c>
      <c r="D26" s="9">
        <v>1.4999999999999999E-2</v>
      </c>
      <c r="E26" s="6">
        <v>2611.5100000000002</v>
      </c>
      <c r="F26" s="7">
        <v>3361.82</v>
      </c>
      <c r="G26" s="7">
        <v>2876.15</v>
      </c>
      <c r="H26" s="7">
        <v>2771.39</v>
      </c>
      <c r="I26" s="7">
        <v>2682.26</v>
      </c>
      <c r="J26" s="39">
        <f>AVERAGE(E26:I26)</f>
        <v>2860.6259999999997</v>
      </c>
      <c r="L26" s="8">
        <v>50</v>
      </c>
      <c r="M26" s="9">
        <v>1.4999999999999999E-2</v>
      </c>
      <c r="N26" s="6">
        <v>8.1389999999999993</v>
      </c>
      <c r="O26" s="7">
        <v>27.273</v>
      </c>
      <c r="P26" s="7">
        <v>14.430999999999999</v>
      </c>
      <c r="Q26" s="7">
        <v>12.843</v>
      </c>
      <c r="R26" s="7">
        <v>8.1349999999999998</v>
      </c>
      <c r="S26" s="39">
        <f>AVERAGE(N26:R26)</f>
        <v>14.164199999999999</v>
      </c>
      <c r="U26" s="8">
        <v>50</v>
      </c>
      <c r="V26" s="9">
        <v>1.4999999999999999E-2</v>
      </c>
      <c r="W26" s="6"/>
      <c r="X26" s="7"/>
      <c r="Y26" s="48"/>
      <c r="Z26" s="44"/>
      <c r="AA26" s="41"/>
      <c r="AB26" s="39" t="e">
        <f>AVERAGE(W26:AA26)</f>
        <v>#DIV/0!</v>
      </c>
    </row>
    <row r="27" spans="3:28">
      <c r="C27" s="8">
        <v>45</v>
      </c>
      <c r="D27" s="9">
        <v>0.02</v>
      </c>
      <c r="E27" s="6">
        <v>2456.8200000000002</v>
      </c>
      <c r="F27" s="7">
        <v>2520.7199999999998</v>
      </c>
      <c r="G27" s="7">
        <v>3070.08</v>
      </c>
      <c r="H27" s="7">
        <v>3491.44</v>
      </c>
      <c r="I27" s="7">
        <v>2210.15</v>
      </c>
      <c r="J27" s="39">
        <f>AVERAGE(E27:I27)</f>
        <v>2749.8419999999996</v>
      </c>
      <c r="L27" s="8">
        <v>45</v>
      </c>
      <c r="M27" s="9">
        <v>0.02</v>
      </c>
      <c r="N27" s="6">
        <v>12.83</v>
      </c>
      <c r="O27" s="7">
        <v>12.824999999999999</v>
      </c>
      <c r="P27" s="7">
        <v>24.07</v>
      </c>
      <c r="Q27" s="7">
        <v>30.937999999999999</v>
      </c>
      <c r="R27" s="7">
        <v>5.9980000000000002</v>
      </c>
      <c r="S27" s="39">
        <f>AVERAGE(N27:R27)</f>
        <v>17.3322</v>
      </c>
      <c r="U27" s="8">
        <v>45</v>
      </c>
      <c r="V27" s="9">
        <v>0.02</v>
      </c>
      <c r="W27" s="6"/>
      <c r="X27" s="7"/>
      <c r="Y27" s="48"/>
      <c r="Z27" s="44"/>
      <c r="AA27" s="41"/>
      <c r="AB27" s="39" t="e">
        <f>AVERAGE(W27:AA27)</f>
        <v>#DIV/0!</v>
      </c>
    </row>
    <row r="28" spans="3:28">
      <c r="C28" s="8">
        <v>40</v>
      </c>
      <c r="D28" s="9">
        <v>0.03</v>
      </c>
      <c r="E28" s="6">
        <v>10764.66</v>
      </c>
      <c r="F28" s="7">
        <v>6909.37</v>
      </c>
      <c r="G28" s="11">
        <v>11545.7</v>
      </c>
      <c r="H28" s="11">
        <v>13685.76</v>
      </c>
      <c r="I28" s="11">
        <v>6178.36</v>
      </c>
      <c r="J28" s="40">
        <f>AVERAGE(E28:I28)</f>
        <v>9816.77</v>
      </c>
      <c r="L28" s="8">
        <v>40</v>
      </c>
      <c r="M28" s="9">
        <v>0.03</v>
      </c>
      <c r="N28" s="6">
        <v>93.703000000000003</v>
      </c>
      <c r="O28" s="7">
        <v>40.317999999999998</v>
      </c>
      <c r="P28" s="11">
        <v>105.71299999999999</v>
      </c>
      <c r="Q28" s="11">
        <v>121.012</v>
      </c>
      <c r="R28" s="11">
        <v>27.263999999999999</v>
      </c>
      <c r="S28" s="40">
        <f>AVERAGE(N28:R28)</f>
        <v>77.602000000000004</v>
      </c>
      <c r="U28" s="8">
        <v>40</v>
      </c>
      <c r="V28" s="9">
        <v>0.03</v>
      </c>
      <c r="W28" s="6"/>
      <c r="X28" s="7"/>
      <c r="Y28" s="49"/>
      <c r="Z28" s="45"/>
      <c r="AA28" s="50"/>
      <c r="AB28" s="40" t="e">
        <f>AVERAGE(W28:AA28)</f>
        <v>#DIV/0!</v>
      </c>
    </row>
    <row r="29" spans="3:28">
      <c r="C29" s="12" t="s">
        <v>2</v>
      </c>
      <c r="D29" s="13"/>
      <c r="E29" s="14"/>
      <c r="F29" s="14"/>
      <c r="G29" s="15"/>
      <c r="H29" s="15"/>
      <c r="I29" s="15"/>
      <c r="J29" s="16"/>
      <c r="L29" s="12" t="s">
        <v>2</v>
      </c>
      <c r="M29" s="13"/>
      <c r="N29" s="14"/>
      <c r="O29" s="14"/>
      <c r="P29" s="15"/>
      <c r="Q29" s="15"/>
      <c r="R29" s="15"/>
      <c r="S29" s="16"/>
      <c r="U29" s="12" t="s">
        <v>2</v>
      </c>
      <c r="V29" s="13"/>
      <c r="W29" s="14"/>
      <c r="X29" s="14"/>
      <c r="Y29" s="15"/>
      <c r="Z29" s="15"/>
      <c r="AA29" s="15"/>
      <c r="AB29" s="16"/>
    </row>
    <row r="30" spans="3:28">
      <c r="C30" s="17" t="s">
        <v>3</v>
      </c>
      <c r="D30" s="18"/>
      <c r="E30" s="19"/>
      <c r="F30" s="19"/>
      <c r="G30" s="19"/>
      <c r="H30" s="19"/>
      <c r="I30" s="19"/>
      <c r="J30" s="20"/>
      <c r="L30" s="17" t="s">
        <v>3</v>
      </c>
      <c r="M30" s="18"/>
      <c r="N30" s="19"/>
      <c r="O30" s="19"/>
      <c r="P30" s="19"/>
      <c r="Q30" s="19"/>
      <c r="R30" s="19"/>
      <c r="S30" s="20"/>
      <c r="U30" s="17" t="s">
        <v>3</v>
      </c>
      <c r="V30" s="18"/>
      <c r="W30" s="19"/>
      <c r="X30" s="19"/>
      <c r="Y30" s="19"/>
      <c r="Z30" s="19"/>
      <c r="AA30" s="19"/>
      <c r="AB30" s="20"/>
    </row>
    <row r="34" spans="3:28">
      <c r="C34" s="58" t="s">
        <v>0</v>
      </c>
      <c r="D34" s="60" t="s">
        <v>1</v>
      </c>
      <c r="E34" s="55" t="s">
        <v>36</v>
      </c>
      <c r="F34" s="55"/>
      <c r="G34" s="55"/>
      <c r="H34" s="55"/>
      <c r="I34" s="56"/>
      <c r="J34" s="57"/>
      <c r="L34" s="58" t="s">
        <v>0</v>
      </c>
      <c r="M34" s="60" t="s">
        <v>1</v>
      </c>
      <c r="N34" s="55" t="s">
        <v>35</v>
      </c>
      <c r="O34" s="55"/>
      <c r="P34" s="55"/>
      <c r="Q34" s="55"/>
      <c r="R34" s="56"/>
      <c r="S34" s="57"/>
      <c r="U34" s="58" t="s">
        <v>0</v>
      </c>
      <c r="V34" s="60" t="s">
        <v>1</v>
      </c>
      <c r="W34" s="55" t="s">
        <v>37</v>
      </c>
      <c r="X34" s="55"/>
      <c r="Y34" s="55"/>
      <c r="Z34" s="62"/>
      <c r="AA34" s="63"/>
      <c r="AB34" s="64"/>
    </row>
    <row r="35" spans="3:28">
      <c r="C35" s="59"/>
      <c r="D35" s="61"/>
      <c r="E35" s="1">
        <v>1</v>
      </c>
      <c r="F35" s="2">
        <v>2</v>
      </c>
      <c r="G35" s="1">
        <v>3</v>
      </c>
      <c r="H35" s="1">
        <v>4</v>
      </c>
      <c r="I35" s="1">
        <v>5</v>
      </c>
      <c r="J35" s="3" t="s">
        <v>5</v>
      </c>
      <c r="L35" s="59"/>
      <c r="M35" s="61"/>
      <c r="N35" s="1">
        <v>1</v>
      </c>
      <c r="O35" s="2">
        <v>2</v>
      </c>
      <c r="P35" s="1">
        <v>3</v>
      </c>
      <c r="Q35" s="1">
        <v>4</v>
      </c>
      <c r="R35" s="1">
        <v>5</v>
      </c>
      <c r="S35" s="37" t="s">
        <v>12</v>
      </c>
      <c r="U35" s="59"/>
      <c r="V35" s="61"/>
      <c r="W35" s="1">
        <v>1</v>
      </c>
      <c r="X35" s="2">
        <v>2</v>
      </c>
      <c r="Y35" s="42">
        <v>3</v>
      </c>
      <c r="Z35" s="51">
        <v>4</v>
      </c>
      <c r="AA35" s="42">
        <v>5</v>
      </c>
      <c r="AB35" s="37" t="s">
        <v>34</v>
      </c>
    </row>
    <row r="36" spans="3:28">
      <c r="C36" s="4">
        <v>40</v>
      </c>
      <c r="D36" s="5">
        <v>2.5000000000000001E-2</v>
      </c>
      <c r="E36" s="6">
        <v>6110.89</v>
      </c>
      <c r="F36" s="10"/>
      <c r="G36" s="10"/>
      <c r="H36" s="10"/>
      <c r="I36" s="10"/>
      <c r="J36" s="38">
        <f>AVERAGE(E36:I36)</f>
        <v>6110.89</v>
      </c>
      <c r="L36" s="4">
        <v>40</v>
      </c>
      <c r="M36" s="5">
        <v>2.5000000000000001E-2</v>
      </c>
      <c r="N36" s="6">
        <v>12.795</v>
      </c>
      <c r="O36" s="7"/>
      <c r="P36" s="7"/>
      <c r="Q36" s="7"/>
      <c r="R36" s="7"/>
      <c r="S36" s="38">
        <f>AVERAGE(N36:R36)</f>
        <v>12.795</v>
      </c>
      <c r="U36" s="4">
        <v>40</v>
      </c>
      <c r="V36" s="5">
        <v>2.5000000000000001E-2</v>
      </c>
      <c r="W36" s="6"/>
      <c r="X36" s="7"/>
      <c r="Y36" s="46"/>
      <c r="Z36" s="43"/>
      <c r="AA36" s="47"/>
      <c r="AB36" s="38" t="e">
        <f>AVERAGE(W36:AA36)</f>
        <v>#DIV/0!</v>
      </c>
    </row>
    <row r="37" spans="3:28">
      <c r="C37" s="8">
        <v>50</v>
      </c>
      <c r="D37" s="9">
        <v>1.4999999999999999E-2</v>
      </c>
      <c r="E37" s="6">
        <v>8976.73</v>
      </c>
      <c r="F37" s="7"/>
      <c r="G37" s="7"/>
      <c r="H37" s="7"/>
      <c r="I37" s="7"/>
      <c r="J37" s="39">
        <f>AVERAGE(E37:I37)</f>
        <v>8976.73</v>
      </c>
      <c r="L37" s="8">
        <v>50</v>
      </c>
      <c r="M37" s="9">
        <v>1.4999999999999999E-2</v>
      </c>
      <c r="N37" s="6">
        <v>4.6340000000000003</v>
      </c>
      <c r="O37" s="7"/>
      <c r="P37" s="7"/>
      <c r="Q37" s="7"/>
      <c r="R37" s="7"/>
      <c r="S37" s="39">
        <f>AVERAGE(N37:R37)</f>
        <v>4.6340000000000003</v>
      </c>
      <c r="U37" s="8">
        <v>50</v>
      </c>
      <c r="V37" s="9">
        <v>1.4999999999999999E-2</v>
      </c>
      <c r="W37" s="6"/>
      <c r="X37" s="7"/>
      <c r="Y37" s="48"/>
      <c r="Z37" s="44"/>
      <c r="AA37" s="41"/>
      <c r="AB37" s="39" t="e">
        <f>AVERAGE(W37:AA37)</f>
        <v>#DIV/0!</v>
      </c>
    </row>
    <row r="38" spans="3:28">
      <c r="C38" s="8">
        <v>45</v>
      </c>
      <c r="D38" s="9">
        <v>0.02</v>
      </c>
      <c r="E38" s="6">
        <v>9224.7199999999993</v>
      </c>
      <c r="F38" s="7"/>
      <c r="G38" s="7"/>
      <c r="H38" s="7"/>
      <c r="I38" s="7"/>
      <c r="J38" s="39">
        <f>AVERAGE(E38:I38)</f>
        <v>9224.7199999999993</v>
      </c>
      <c r="L38" s="8">
        <v>45</v>
      </c>
      <c r="M38" s="9">
        <v>0.02</v>
      </c>
      <c r="N38" s="6">
        <v>4.6159999999999997</v>
      </c>
      <c r="O38" s="7"/>
      <c r="P38" s="7"/>
      <c r="Q38" s="7"/>
      <c r="R38" s="7"/>
      <c r="S38" s="39">
        <f>AVERAGE(N38:R38)</f>
        <v>4.6159999999999997</v>
      </c>
      <c r="U38" s="8">
        <v>45</v>
      </c>
      <c r="V38" s="9">
        <v>0.02</v>
      </c>
      <c r="W38" s="6"/>
      <c r="X38" s="7"/>
      <c r="Y38" s="48"/>
      <c r="Z38" s="44"/>
      <c r="AA38" s="41"/>
      <c r="AB38" s="39" t="e">
        <f>AVERAGE(W38:AA38)</f>
        <v>#DIV/0!</v>
      </c>
    </row>
    <row r="39" spans="3:28">
      <c r="C39" s="8">
        <v>40</v>
      </c>
      <c r="D39" s="9">
        <v>0.03</v>
      </c>
      <c r="E39" s="6">
        <v>23182.36</v>
      </c>
      <c r="F39" s="11"/>
      <c r="G39" s="11"/>
      <c r="H39" s="11"/>
      <c r="I39" s="11"/>
      <c r="J39" s="40">
        <f>AVERAGE(E39:I39)</f>
        <v>23182.36</v>
      </c>
      <c r="L39" s="8">
        <v>40</v>
      </c>
      <c r="M39" s="9">
        <v>0.03</v>
      </c>
      <c r="N39" s="6">
        <v>60.317</v>
      </c>
      <c r="O39" s="7"/>
      <c r="P39" s="11"/>
      <c r="Q39" s="11"/>
      <c r="R39" s="11"/>
      <c r="S39" s="40">
        <f>AVERAGE(N39:R39)</f>
        <v>60.317</v>
      </c>
      <c r="U39" s="8">
        <v>40</v>
      </c>
      <c r="V39" s="9">
        <v>0.03</v>
      </c>
      <c r="W39" s="6"/>
      <c r="X39" s="7"/>
      <c r="Y39" s="49"/>
      <c r="Z39" s="45"/>
      <c r="AA39" s="50"/>
      <c r="AB39" s="40" t="e">
        <f>AVERAGE(W39:AA39)</f>
        <v>#DIV/0!</v>
      </c>
    </row>
    <row r="40" spans="3:28">
      <c r="C40" s="12" t="s">
        <v>2</v>
      </c>
      <c r="D40" s="13"/>
      <c r="E40" s="14"/>
      <c r="F40" s="15"/>
      <c r="G40" s="15"/>
      <c r="H40" s="15"/>
      <c r="I40" s="15"/>
      <c r="J40" s="16"/>
      <c r="L40" s="12" t="s">
        <v>2</v>
      </c>
      <c r="M40" s="13"/>
      <c r="N40" s="14"/>
      <c r="O40" s="14"/>
      <c r="P40" s="15"/>
      <c r="Q40" s="15"/>
      <c r="R40" s="15"/>
      <c r="S40" s="16"/>
      <c r="U40" s="12" t="s">
        <v>2</v>
      </c>
      <c r="V40" s="13"/>
      <c r="W40" s="14"/>
      <c r="X40" s="14"/>
      <c r="Y40" s="15"/>
      <c r="Z40" s="15"/>
      <c r="AA40" s="15"/>
      <c r="AB40" s="16"/>
    </row>
    <row r="41" spans="3:28">
      <c r="C41" s="17" t="s">
        <v>3</v>
      </c>
      <c r="D41" s="18"/>
      <c r="E41" s="19"/>
      <c r="F41" s="19"/>
      <c r="G41" s="19"/>
      <c r="H41" s="19"/>
      <c r="I41" s="19"/>
      <c r="J41" s="20"/>
      <c r="L41" s="17" t="s">
        <v>3</v>
      </c>
      <c r="M41" s="18"/>
      <c r="N41" s="19"/>
      <c r="O41" s="19"/>
      <c r="P41" s="19"/>
      <c r="Q41" s="19"/>
      <c r="R41" s="19"/>
      <c r="S41" s="20"/>
      <c r="U41" s="17" t="s">
        <v>3</v>
      </c>
      <c r="V41" s="18"/>
      <c r="W41" s="19"/>
      <c r="X41" s="19"/>
      <c r="Y41" s="19"/>
      <c r="Z41" s="19"/>
      <c r="AA41" s="19"/>
      <c r="AB41" s="20"/>
    </row>
  </sheetData>
  <mergeCells count="27">
    <mergeCell ref="U34:U35"/>
    <mergeCell ref="V34:V35"/>
    <mergeCell ref="W34:AB34"/>
    <mergeCell ref="U8:U9"/>
    <mergeCell ref="V8:V9"/>
    <mergeCell ref="W8:AB8"/>
    <mergeCell ref="U23:U24"/>
    <mergeCell ref="V23:V24"/>
    <mergeCell ref="W23:AB23"/>
    <mergeCell ref="C8:C9"/>
    <mergeCell ref="D8:D9"/>
    <mergeCell ref="E8:J8"/>
    <mergeCell ref="C23:C24"/>
    <mergeCell ref="D23:D24"/>
    <mergeCell ref="E23:J23"/>
    <mergeCell ref="L8:L9"/>
    <mergeCell ref="M8:M9"/>
    <mergeCell ref="N8:S8"/>
    <mergeCell ref="L23:L24"/>
    <mergeCell ref="M23:M24"/>
    <mergeCell ref="N23:S23"/>
    <mergeCell ref="N34:S34"/>
    <mergeCell ref="C34:C35"/>
    <mergeCell ref="D34:D35"/>
    <mergeCell ref="E34:J34"/>
    <mergeCell ref="L34:L35"/>
    <mergeCell ref="M34:M35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2581-F071-0941-AACA-28B2601F591A}">
  <dimension ref="C6:S36"/>
  <sheetViews>
    <sheetView zoomScale="86" zoomScaleNormal="85" workbookViewId="0">
      <selection activeCell="A12" sqref="A12:XFD12"/>
    </sheetView>
  </sheetViews>
  <sheetFormatPr baseColWidth="10" defaultRowHeight="15"/>
  <cols>
    <col min="10" max="10" width="16.83203125" customWidth="1"/>
    <col min="19" max="19" width="17.5" customWidth="1"/>
  </cols>
  <sheetData>
    <row r="6" spans="3:19">
      <c r="C6" s="58" t="s">
        <v>0</v>
      </c>
      <c r="D6" s="60" t="s">
        <v>1</v>
      </c>
      <c r="E6" s="55" t="s">
        <v>20</v>
      </c>
      <c r="F6" s="55"/>
      <c r="G6" s="55"/>
      <c r="H6" s="55"/>
      <c r="I6" s="56"/>
      <c r="J6" s="57"/>
      <c r="L6" s="58" t="s">
        <v>0</v>
      </c>
      <c r="M6" s="60" t="s">
        <v>1</v>
      </c>
      <c r="N6" s="55" t="s">
        <v>11</v>
      </c>
      <c r="O6" s="55"/>
      <c r="P6" s="55"/>
      <c r="Q6" s="55"/>
      <c r="R6" s="56"/>
      <c r="S6" s="57"/>
    </row>
    <row r="7" spans="3:19">
      <c r="C7" s="59"/>
      <c r="D7" s="61"/>
      <c r="E7" s="1">
        <v>1</v>
      </c>
      <c r="F7" s="2">
        <v>2</v>
      </c>
      <c r="G7" s="42">
        <v>3</v>
      </c>
      <c r="H7" s="42">
        <v>4</v>
      </c>
      <c r="I7" s="42">
        <v>5</v>
      </c>
      <c r="J7" s="3" t="s">
        <v>5</v>
      </c>
      <c r="L7" s="59"/>
      <c r="M7" s="61"/>
      <c r="N7" s="1">
        <v>1</v>
      </c>
      <c r="O7" s="2">
        <v>2</v>
      </c>
      <c r="P7" s="42">
        <v>3</v>
      </c>
      <c r="Q7" s="42">
        <v>4</v>
      </c>
      <c r="R7" s="42">
        <v>5</v>
      </c>
      <c r="S7" s="3" t="s">
        <v>12</v>
      </c>
    </row>
    <row r="8" spans="3:19">
      <c r="C8" s="4">
        <v>40</v>
      </c>
      <c r="D8" s="5">
        <v>2.5000000000000001E-2</v>
      </c>
      <c r="E8" s="6">
        <v>1132.06</v>
      </c>
      <c r="F8" s="7">
        <v>1116.1199999999999</v>
      </c>
      <c r="G8" s="43">
        <v>1312.54</v>
      </c>
      <c r="H8" s="43">
        <v>1210.1099999999999</v>
      </c>
      <c r="I8" s="43">
        <v>1473.45</v>
      </c>
      <c r="J8" s="38">
        <f>AVERAGE(E8:I8)</f>
        <v>1248.856</v>
      </c>
      <c r="L8" s="4">
        <v>40</v>
      </c>
      <c r="M8" s="5">
        <v>2.5000000000000001E-2</v>
      </c>
      <c r="N8" s="6">
        <v>5.4859999999999998</v>
      </c>
      <c r="O8" s="7">
        <v>4.6059999999999999</v>
      </c>
      <c r="P8" s="46">
        <v>11.226000000000001</v>
      </c>
      <c r="Q8" s="43">
        <v>8.1319999999999997</v>
      </c>
      <c r="R8" s="43">
        <v>14.407</v>
      </c>
      <c r="S8" s="38">
        <f>AVERAGE(N8:R8)</f>
        <v>8.7713999999999999</v>
      </c>
    </row>
    <row r="9" spans="3:19">
      <c r="C9" s="8">
        <v>50</v>
      </c>
      <c r="D9" s="9">
        <v>1.4999999999999999E-2</v>
      </c>
      <c r="E9" s="6">
        <v>1803.64</v>
      </c>
      <c r="F9" s="7">
        <v>1661.18</v>
      </c>
      <c r="G9" s="44">
        <v>2014.34</v>
      </c>
      <c r="H9" s="44">
        <v>1605.63</v>
      </c>
      <c r="I9" s="44">
        <v>1639.78</v>
      </c>
      <c r="J9" s="39">
        <f>AVERAGE(E9:I9)</f>
        <v>1744.914</v>
      </c>
      <c r="L9" s="8">
        <v>50</v>
      </c>
      <c r="M9" s="9">
        <v>1.4999999999999999E-2</v>
      </c>
      <c r="N9" s="6">
        <v>14.433</v>
      </c>
      <c r="O9" s="7">
        <v>10.055</v>
      </c>
      <c r="P9" s="48">
        <v>18.324000000000002</v>
      </c>
      <c r="Q9" s="44">
        <v>8.1300000000000008</v>
      </c>
      <c r="R9" s="44">
        <v>9.032</v>
      </c>
      <c r="S9" s="39">
        <f>AVERAGE(N9:R9)</f>
        <v>11.994800000000001</v>
      </c>
    </row>
    <row r="10" spans="3:19">
      <c r="C10" s="8">
        <v>45</v>
      </c>
      <c r="D10" s="9">
        <v>0.02</v>
      </c>
      <c r="E10" s="6">
        <v>1711.76</v>
      </c>
      <c r="F10" s="7">
        <v>1620.38</v>
      </c>
      <c r="G10" s="44">
        <v>1792.07</v>
      </c>
      <c r="H10" s="44">
        <v>1658.23</v>
      </c>
      <c r="I10" s="44">
        <v>1625.93</v>
      </c>
      <c r="J10" s="39">
        <f>AVERAGE(E10:I10)</f>
        <v>1681.6740000000002</v>
      </c>
      <c r="L10" s="8">
        <v>45</v>
      </c>
      <c r="M10" s="9">
        <v>0.02</v>
      </c>
      <c r="N10" s="6">
        <v>7.2830000000000004</v>
      </c>
      <c r="O10" s="7">
        <v>4.2830000000000004</v>
      </c>
      <c r="P10" s="48">
        <v>10.041</v>
      </c>
      <c r="Q10" s="44">
        <v>5.4749999999999996</v>
      </c>
      <c r="R10" s="44">
        <v>4.2610000000000001</v>
      </c>
      <c r="S10" s="39">
        <f>AVERAGE(N10:R10)</f>
        <v>6.2686000000000002</v>
      </c>
    </row>
    <row r="11" spans="3:19">
      <c r="C11" s="8">
        <v>40</v>
      </c>
      <c r="D11" s="9">
        <v>0.03</v>
      </c>
      <c r="E11" s="6">
        <v>10394.33</v>
      </c>
      <c r="F11" s="7">
        <v>10696.499</v>
      </c>
      <c r="G11" s="45">
        <v>4681.26</v>
      </c>
      <c r="H11" s="45">
        <v>5914.04</v>
      </c>
      <c r="I11" s="45">
        <v>7236.13</v>
      </c>
      <c r="J11" s="40">
        <f>AVERAGE(E11:I11)</f>
        <v>7784.4517999999998</v>
      </c>
      <c r="L11" s="8">
        <v>40</v>
      </c>
      <c r="M11" s="9">
        <v>0.03</v>
      </c>
      <c r="N11" s="6">
        <v>106.72799999999999</v>
      </c>
      <c r="O11" s="7">
        <v>105.53700000000001</v>
      </c>
      <c r="P11" s="49">
        <v>11.288</v>
      </c>
      <c r="Q11" s="45">
        <v>40.176000000000002</v>
      </c>
      <c r="R11" s="45">
        <v>60.399000000000001</v>
      </c>
      <c r="S11" s="40">
        <f>AVERAGE(N11:R11)</f>
        <v>64.825599999999994</v>
      </c>
    </row>
    <row r="12" spans="3:19">
      <c r="C12" s="12" t="s">
        <v>2</v>
      </c>
      <c r="D12" s="13"/>
      <c r="E12" s="14"/>
      <c r="F12" s="14"/>
      <c r="G12" s="15"/>
      <c r="H12" s="15"/>
      <c r="I12" s="15"/>
      <c r="J12" s="16"/>
      <c r="L12" s="12" t="s">
        <v>2</v>
      </c>
      <c r="M12" s="13"/>
      <c r="N12" s="14"/>
      <c r="O12" s="14"/>
      <c r="P12" s="15"/>
      <c r="Q12" s="15"/>
      <c r="R12" s="15"/>
      <c r="S12" s="16"/>
    </row>
    <row r="13" spans="3:19">
      <c r="C13" s="17" t="s">
        <v>3</v>
      </c>
      <c r="D13" s="18"/>
      <c r="E13" s="19"/>
      <c r="F13" s="19"/>
      <c r="G13" s="19"/>
      <c r="H13" s="19"/>
      <c r="I13" s="19"/>
      <c r="J13" s="20"/>
      <c r="L13" s="17" t="s">
        <v>3</v>
      </c>
      <c r="M13" s="18"/>
      <c r="N13" s="19"/>
      <c r="O13" s="19"/>
      <c r="P13" s="19"/>
      <c r="Q13" s="19"/>
      <c r="R13" s="19"/>
      <c r="S13" s="20"/>
    </row>
    <row r="18" spans="3:19">
      <c r="C18" s="58" t="s">
        <v>0</v>
      </c>
      <c r="D18" s="60" t="s">
        <v>1</v>
      </c>
      <c r="E18" s="55" t="s">
        <v>8</v>
      </c>
      <c r="F18" s="55"/>
      <c r="G18" s="55"/>
      <c r="H18" s="55"/>
      <c r="I18" s="56"/>
      <c r="J18" s="57"/>
      <c r="L18" s="58" t="s">
        <v>0</v>
      </c>
      <c r="M18" s="60" t="s">
        <v>1</v>
      </c>
      <c r="N18" s="55" t="s">
        <v>13</v>
      </c>
      <c r="O18" s="55"/>
      <c r="P18" s="55"/>
      <c r="Q18" s="55"/>
      <c r="R18" s="56"/>
      <c r="S18" s="57"/>
    </row>
    <row r="19" spans="3:19">
      <c r="C19" s="59"/>
      <c r="D19" s="61"/>
      <c r="E19" s="1">
        <v>1</v>
      </c>
      <c r="F19" s="2">
        <v>2</v>
      </c>
      <c r="G19" s="1">
        <v>3</v>
      </c>
      <c r="H19" s="1">
        <v>4</v>
      </c>
      <c r="I19" s="1">
        <v>5</v>
      </c>
      <c r="J19" s="3" t="s">
        <v>5</v>
      </c>
      <c r="L19" s="59"/>
      <c r="M19" s="61"/>
      <c r="N19" s="1">
        <v>1</v>
      </c>
      <c r="O19" s="2">
        <v>2</v>
      </c>
      <c r="P19" s="1">
        <v>3</v>
      </c>
      <c r="Q19" s="1">
        <v>4</v>
      </c>
      <c r="R19" s="1">
        <v>5</v>
      </c>
      <c r="S19" s="3" t="s">
        <v>12</v>
      </c>
    </row>
    <row r="20" spans="3:19">
      <c r="C20" s="4">
        <v>40</v>
      </c>
      <c r="D20" s="5">
        <v>2.5000000000000001E-2</v>
      </c>
      <c r="E20" s="6">
        <v>2392.06</v>
      </c>
      <c r="F20" s="7">
        <v>2480.88</v>
      </c>
      <c r="G20" s="10">
        <v>2266.4899999999998</v>
      </c>
      <c r="H20" s="10">
        <v>2413.7199999999998</v>
      </c>
      <c r="I20" s="10">
        <v>2550.56</v>
      </c>
      <c r="J20" s="38">
        <f>AVERAGE(E20:I20)</f>
        <v>2420.7419999999997</v>
      </c>
      <c r="L20" s="4">
        <v>40</v>
      </c>
      <c r="M20" s="5">
        <v>2.5000000000000001E-2</v>
      </c>
      <c r="N20" s="6">
        <v>10.042</v>
      </c>
      <c r="O20" s="7">
        <v>12.847</v>
      </c>
      <c r="P20" s="10">
        <v>7.3330000000000002</v>
      </c>
      <c r="Q20" s="10">
        <v>11.23</v>
      </c>
      <c r="R20" s="10">
        <v>12.821</v>
      </c>
      <c r="S20" s="38">
        <f>AVERAGE(N20:R20)</f>
        <v>10.8546</v>
      </c>
    </row>
    <row r="21" spans="3:19">
      <c r="C21" s="8">
        <v>50</v>
      </c>
      <c r="D21" s="9">
        <v>1.4999999999999999E-2</v>
      </c>
      <c r="E21" s="6">
        <v>3163.84</v>
      </c>
      <c r="F21" s="7">
        <v>3663.07</v>
      </c>
      <c r="G21" s="7">
        <v>3547.24</v>
      </c>
      <c r="H21" s="7">
        <v>3290.2</v>
      </c>
      <c r="I21" s="7">
        <v>3474.45</v>
      </c>
      <c r="J21" s="39">
        <f>AVERAGE(E21:I21)</f>
        <v>3427.7599999999998</v>
      </c>
      <c r="L21" s="8">
        <v>50</v>
      </c>
      <c r="M21" s="9">
        <v>1.4999999999999999E-2</v>
      </c>
      <c r="N21" s="6">
        <v>5.0529999999999999</v>
      </c>
      <c r="O21" s="7">
        <v>12.845000000000001</v>
      </c>
      <c r="P21" s="7">
        <v>12.834</v>
      </c>
      <c r="Q21" s="7">
        <v>2.6789999999999998</v>
      </c>
      <c r="R21" s="7">
        <v>7.2880000000000003</v>
      </c>
      <c r="S21" s="39">
        <f>AVERAGE(N21:R21)</f>
        <v>8.1397999999999993</v>
      </c>
    </row>
    <row r="22" spans="3:19">
      <c r="C22" s="8">
        <v>45</v>
      </c>
      <c r="D22" s="9">
        <v>0.02</v>
      </c>
      <c r="E22" s="6">
        <v>3692.63</v>
      </c>
      <c r="F22" s="7">
        <v>4285.25</v>
      </c>
      <c r="G22" s="7">
        <v>4003.56</v>
      </c>
      <c r="H22" s="7">
        <v>3810.3</v>
      </c>
      <c r="I22" s="7">
        <v>4027.89</v>
      </c>
      <c r="J22" s="39">
        <f>AVERAGE(E22:I22)</f>
        <v>3963.9260000000004</v>
      </c>
      <c r="L22" s="8">
        <v>45</v>
      </c>
      <c r="M22" s="9">
        <v>0.02</v>
      </c>
      <c r="N22" s="6">
        <v>3.016</v>
      </c>
      <c r="O22" s="7">
        <v>18.311</v>
      </c>
      <c r="P22" s="7">
        <v>11.214</v>
      </c>
      <c r="Q22" s="7">
        <v>3.9860000000000002</v>
      </c>
      <c r="R22" s="7">
        <v>8.0850000000000009</v>
      </c>
      <c r="S22" s="39">
        <f>AVERAGE(N22:R22)</f>
        <v>8.9223999999999997</v>
      </c>
    </row>
    <row r="23" spans="3:19">
      <c r="C23" s="8">
        <v>40</v>
      </c>
      <c r="D23" s="9">
        <v>0.03</v>
      </c>
      <c r="E23" s="6">
        <v>8326.6200000000008</v>
      </c>
      <c r="F23" s="7">
        <v>14756.35</v>
      </c>
      <c r="G23" s="11">
        <v>10855.64</v>
      </c>
      <c r="H23" s="11">
        <v>15724.84</v>
      </c>
      <c r="I23" s="11">
        <v>9114.8799999999992</v>
      </c>
      <c r="J23" s="40">
        <f>AVERAGE(E23:I23)</f>
        <v>11755.665999999999</v>
      </c>
      <c r="L23" s="8">
        <v>40</v>
      </c>
      <c r="M23" s="9">
        <v>0.03</v>
      </c>
      <c r="N23" s="6">
        <v>45.887</v>
      </c>
      <c r="O23" s="7">
        <v>120.90300000000001</v>
      </c>
      <c r="P23" s="11">
        <v>79.099000000000004</v>
      </c>
      <c r="Q23" s="11">
        <v>120.64700000000001</v>
      </c>
      <c r="R23" s="11">
        <v>60.896000000000001</v>
      </c>
      <c r="S23" s="40">
        <f>AVERAGE(N23:R23)</f>
        <v>85.486400000000003</v>
      </c>
    </row>
    <row r="24" spans="3:19">
      <c r="C24" s="12" t="s">
        <v>2</v>
      </c>
      <c r="D24" s="13"/>
      <c r="E24" s="14"/>
      <c r="F24" s="14"/>
      <c r="G24" s="15"/>
      <c r="H24" s="15"/>
      <c r="I24" s="15"/>
      <c r="J24" s="16"/>
      <c r="L24" s="12" t="s">
        <v>2</v>
      </c>
      <c r="M24" s="13"/>
      <c r="N24" s="14"/>
      <c r="O24" s="14"/>
      <c r="P24" s="15"/>
      <c r="Q24" s="15"/>
      <c r="R24" s="15"/>
      <c r="S24" s="16"/>
    </row>
    <row r="25" spans="3:19">
      <c r="C25" s="17" t="s">
        <v>3</v>
      </c>
      <c r="D25" s="18"/>
      <c r="E25" s="19"/>
      <c r="F25" s="19"/>
      <c r="G25" s="19"/>
      <c r="H25" s="19"/>
      <c r="I25" s="19"/>
      <c r="J25" s="20"/>
      <c r="L25" s="17" t="s">
        <v>3</v>
      </c>
      <c r="M25" s="18"/>
      <c r="N25" s="19"/>
      <c r="O25" s="19"/>
      <c r="P25" s="19"/>
      <c r="Q25" s="19"/>
      <c r="R25" s="19"/>
      <c r="S25" s="20"/>
    </row>
    <row r="29" spans="3:19">
      <c r="C29" s="58" t="s">
        <v>0</v>
      </c>
      <c r="D29" s="60" t="s">
        <v>1</v>
      </c>
      <c r="E29" s="55" t="s">
        <v>21</v>
      </c>
      <c r="F29" s="55"/>
      <c r="G29" s="55"/>
      <c r="H29" s="55"/>
      <c r="I29" s="56"/>
      <c r="J29" s="57"/>
      <c r="L29" s="58" t="s">
        <v>0</v>
      </c>
      <c r="M29" s="60" t="s">
        <v>1</v>
      </c>
      <c r="N29" s="55" t="s">
        <v>22</v>
      </c>
      <c r="O29" s="55"/>
      <c r="P29" s="55"/>
      <c r="Q29" s="55"/>
      <c r="R29" s="56"/>
      <c r="S29" s="57"/>
    </row>
    <row r="30" spans="3:19">
      <c r="C30" s="59"/>
      <c r="D30" s="61"/>
      <c r="E30" s="1">
        <v>1</v>
      </c>
      <c r="F30" s="2">
        <v>2</v>
      </c>
      <c r="G30" s="1">
        <v>3</v>
      </c>
      <c r="H30" s="1">
        <v>4</v>
      </c>
      <c r="I30" s="1">
        <v>5</v>
      </c>
      <c r="J30" s="3" t="s">
        <v>5</v>
      </c>
      <c r="L30" s="59"/>
      <c r="M30" s="61"/>
      <c r="N30" s="1">
        <v>1</v>
      </c>
      <c r="O30" s="2">
        <v>2</v>
      </c>
      <c r="P30" s="1">
        <v>3</v>
      </c>
      <c r="Q30" s="1">
        <v>4</v>
      </c>
      <c r="R30" s="1">
        <v>5</v>
      </c>
      <c r="S30" s="3" t="s">
        <v>12</v>
      </c>
    </row>
    <row r="31" spans="3:19">
      <c r="C31" s="4">
        <v>40</v>
      </c>
      <c r="D31" s="5">
        <v>2.5000000000000001E-2</v>
      </c>
      <c r="E31" s="6">
        <v>7719.51</v>
      </c>
      <c r="F31" s="7"/>
      <c r="G31" s="10"/>
      <c r="H31" s="10"/>
      <c r="I31" s="10"/>
      <c r="J31" s="38">
        <f>AVERAGE(E31:I31)</f>
        <v>7719.51</v>
      </c>
      <c r="L31" s="4">
        <v>40</v>
      </c>
      <c r="M31" s="5">
        <v>2.5000000000000001E-2</v>
      </c>
      <c r="N31" s="6">
        <v>10.039999999999999</v>
      </c>
      <c r="O31" s="7"/>
      <c r="P31" s="10"/>
      <c r="Q31" s="10"/>
      <c r="R31" s="10"/>
      <c r="S31" s="38">
        <f>AVERAGE(N31:R31)</f>
        <v>10.039999999999999</v>
      </c>
    </row>
    <row r="32" spans="3:19">
      <c r="C32" s="8">
        <v>50</v>
      </c>
      <c r="D32" s="9">
        <v>1.4999999999999999E-2</v>
      </c>
      <c r="E32" s="6">
        <v>10625.45</v>
      </c>
      <c r="F32" s="7"/>
      <c r="G32" s="7"/>
      <c r="H32" s="7"/>
      <c r="I32" s="7"/>
      <c r="J32" s="39">
        <f>AVERAGE(E32:I32)</f>
        <v>10625.45</v>
      </c>
      <c r="L32" s="8">
        <v>50</v>
      </c>
      <c r="M32" s="9">
        <v>1.4999999999999999E-2</v>
      </c>
      <c r="N32" s="6">
        <v>5.48</v>
      </c>
      <c r="O32" s="7"/>
      <c r="P32" s="7"/>
      <c r="Q32" s="7"/>
      <c r="R32" s="7"/>
      <c r="S32" s="39">
        <f>AVERAGE(N32:R32)</f>
        <v>5.48</v>
      </c>
    </row>
    <row r="33" spans="3:19">
      <c r="C33" s="8">
        <v>45</v>
      </c>
      <c r="D33" s="9">
        <v>0.02</v>
      </c>
      <c r="E33" s="6">
        <v>11139.39</v>
      </c>
      <c r="F33" s="7"/>
      <c r="G33" s="7"/>
      <c r="H33" s="7"/>
      <c r="I33" s="7"/>
      <c r="J33" s="39">
        <f>AVERAGE(E33:I33)</f>
        <v>11139.39</v>
      </c>
      <c r="L33" s="8">
        <v>45</v>
      </c>
      <c r="M33" s="9">
        <v>0.02</v>
      </c>
      <c r="N33" s="6">
        <v>5.9779999999999998</v>
      </c>
      <c r="O33" s="7"/>
      <c r="P33" s="7"/>
      <c r="Q33" s="7"/>
      <c r="R33" s="7"/>
      <c r="S33" s="39">
        <f>AVERAGE(N33:R33)</f>
        <v>5.9779999999999998</v>
      </c>
    </row>
    <row r="34" spans="3:19">
      <c r="C34" s="8">
        <v>40</v>
      </c>
      <c r="D34" s="9">
        <v>0.03</v>
      </c>
      <c r="E34" s="6">
        <v>24477.8</v>
      </c>
      <c r="F34" s="7"/>
      <c r="G34" s="11"/>
      <c r="H34" s="11"/>
      <c r="I34" s="11"/>
      <c r="J34" s="40">
        <f>AVERAGE(E34:I34)</f>
        <v>24477.8</v>
      </c>
      <c r="L34" s="8">
        <v>40</v>
      </c>
      <c r="M34" s="9">
        <v>0.03</v>
      </c>
      <c r="N34" s="6">
        <v>35.1</v>
      </c>
      <c r="O34" s="7"/>
      <c r="P34" s="11"/>
      <c r="Q34" s="11"/>
      <c r="R34" s="11"/>
      <c r="S34" s="40">
        <f>AVERAGE(N34:R34)</f>
        <v>35.1</v>
      </c>
    </row>
    <row r="35" spans="3:19">
      <c r="C35" s="12" t="s">
        <v>2</v>
      </c>
      <c r="D35" s="13"/>
      <c r="E35" s="14"/>
      <c r="F35" s="14"/>
      <c r="G35" s="15"/>
      <c r="H35" s="15"/>
      <c r="I35" s="15"/>
      <c r="J35" s="16"/>
      <c r="L35" s="12" t="s">
        <v>2</v>
      </c>
      <c r="M35" s="13"/>
      <c r="N35" s="14"/>
      <c r="O35" s="14"/>
      <c r="P35" s="15"/>
      <c r="Q35" s="15"/>
      <c r="R35" s="15"/>
      <c r="S35" s="16"/>
    </row>
    <row r="36" spans="3:19">
      <c r="C36" s="17" t="s">
        <v>3</v>
      </c>
      <c r="D36" s="18"/>
      <c r="E36" s="19"/>
      <c r="F36" s="19"/>
      <c r="G36" s="19"/>
      <c r="H36" s="19"/>
      <c r="I36" s="19"/>
      <c r="J36" s="20"/>
      <c r="L36" s="17" t="s">
        <v>3</v>
      </c>
      <c r="M36" s="18"/>
      <c r="N36" s="19"/>
      <c r="O36" s="19"/>
      <c r="P36" s="19"/>
      <c r="Q36" s="19"/>
      <c r="R36" s="19"/>
      <c r="S36" s="20"/>
    </row>
  </sheetData>
  <mergeCells count="18">
    <mergeCell ref="L6:L7"/>
    <mergeCell ref="M6:M7"/>
    <mergeCell ref="N6:S6"/>
    <mergeCell ref="L18:L19"/>
    <mergeCell ref="M18:M19"/>
    <mergeCell ref="N18:S18"/>
    <mergeCell ref="C6:C7"/>
    <mergeCell ref="D6:D7"/>
    <mergeCell ref="E6:J6"/>
    <mergeCell ref="C18:C19"/>
    <mergeCell ref="D18:D19"/>
    <mergeCell ref="E18:J18"/>
    <mergeCell ref="N29:S29"/>
    <mergeCell ref="C29:C30"/>
    <mergeCell ref="D29:D30"/>
    <mergeCell ref="E29:J29"/>
    <mergeCell ref="L29:L30"/>
    <mergeCell ref="M29:M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D473-5328-8D45-8500-E506197ADFD1}">
  <dimension ref="C6:K14"/>
  <sheetViews>
    <sheetView workbookViewId="0">
      <selection activeCell="J20" sqref="J20"/>
    </sheetView>
  </sheetViews>
  <sheetFormatPr baseColWidth="10" defaultRowHeight="15"/>
  <cols>
    <col min="5" max="5" width="14.1640625" customWidth="1"/>
    <col min="6" max="6" width="13.1640625" customWidth="1"/>
    <col min="11" max="11" width="16.1640625" customWidth="1"/>
  </cols>
  <sheetData>
    <row r="6" spans="3:11">
      <c r="C6" s="58" t="s">
        <v>0</v>
      </c>
      <c r="D6" s="60" t="s">
        <v>1</v>
      </c>
      <c r="E6" s="55" t="s">
        <v>9</v>
      </c>
      <c r="F6" s="57"/>
      <c r="H6" s="58" t="s">
        <v>0</v>
      </c>
      <c r="I6" s="60" t="s">
        <v>1</v>
      </c>
      <c r="J6" s="55" t="s">
        <v>25</v>
      </c>
      <c r="K6" s="57"/>
    </row>
    <row r="7" spans="3:11">
      <c r="C7" s="59"/>
      <c r="D7" s="61"/>
      <c r="E7" s="1">
        <v>1</v>
      </c>
      <c r="F7" s="3" t="s">
        <v>5</v>
      </c>
      <c r="H7" s="59"/>
      <c r="I7" s="61"/>
      <c r="J7" s="1">
        <v>1</v>
      </c>
      <c r="K7" s="3" t="s">
        <v>12</v>
      </c>
    </row>
    <row r="8" spans="3:11">
      <c r="C8" s="4">
        <v>40</v>
      </c>
      <c r="D8" s="5">
        <v>2.5000000000000001E-2</v>
      </c>
      <c r="E8" s="6">
        <v>6168.33</v>
      </c>
      <c r="F8" s="38">
        <f t="shared" ref="F8" si="0">AVERAGE(E8:E8)</f>
        <v>6168.33</v>
      </c>
      <c r="H8" s="4">
        <v>40</v>
      </c>
      <c r="I8" s="5">
        <v>2.5000000000000001E-2</v>
      </c>
      <c r="J8" s="6">
        <v>8.2042000000000002</v>
      </c>
      <c r="K8" s="38">
        <f t="shared" ref="K8" si="1">AVERAGE(J8:J8)</f>
        <v>8.2042000000000002</v>
      </c>
    </row>
    <row r="9" spans="3:11">
      <c r="C9" s="8">
        <v>50</v>
      </c>
      <c r="D9" s="9">
        <v>1.4999999999999999E-2</v>
      </c>
      <c r="E9" s="6">
        <v>10333.16</v>
      </c>
      <c r="F9" s="39">
        <f>AVERAGE(E9:E9)</f>
        <v>10333.16</v>
      </c>
      <c r="H9" s="8">
        <v>50</v>
      </c>
      <c r="I9" s="9">
        <v>1.4999999999999999E-2</v>
      </c>
      <c r="J9" s="6">
        <v>7.5407999999999999</v>
      </c>
      <c r="K9" s="39">
        <f>AVERAGE(J9:J9)</f>
        <v>7.5407999999999999</v>
      </c>
    </row>
    <row r="10" spans="3:11">
      <c r="C10" s="8">
        <v>45</v>
      </c>
      <c r="D10" s="9">
        <v>0.02</v>
      </c>
      <c r="E10" s="6">
        <v>12780.86</v>
      </c>
      <c r="F10" s="39">
        <f>AVERAGE(E10:E10)</f>
        <v>12780.86</v>
      </c>
      <c r="H10" s="8">
        <v>45</v>
      </c>
      <c r="I10" s="9">
        <v>0.02</v>
      </c>
      <c r="J10" s="6">
        <v>5.5316000000000001</v>
      </c>
      <c r="K10" s="39">
        <f>AVERAGE(J10:J10)</f>
        <v>5.5316000000000001</v>
      </c>
    </row>
    <row r="11" spans="3:11">
      <c r="C11" s="8">
        <v>40</v>
      </c>
      <c r="D11" s="9">
        <v>0.03</v>
      </c>
      <c r="E11" s="6">
        <v>80973.86</v>
      </c>
      <c r="F11" s="53">
        <f>AVERAGE(E11:E11)</f>
        <v>80973.86</v>
      </c>
      <c r="H11" s="8">
        <v>40</v>
      </c>
      <c r="I11" s="9">
        <v>0.03</v>
      </c>
      <c r="J11" s="6">
        <v>25.006399999999999</v>
      </c>
      <c r="K11" s="53">
        <f>AVERAGE(J11:J11)</f>
        <v>25.006399999999999</v>
      </c>
    </row>
    <row r="12" spans="3:11">
      <c r="C12" s="8">
        <v>40</v>
      </c>
      <c r="D12" s="52">
        <v>3.5000000000000003E-2</v>
      </c>
      <c r="E12" s="40">
        <v>4248176.2740000002</v>
      </c>
      <c r="F12" s="40">
        <f>AVERAGE(E12:E12)</f>
        <v>4248176.2740000002</v>
      </c>
      <c r="H12" s="8">
        <v>40</v>
      </c>
      <c r="I12" s="52">
        <v>3.5000000000000003E-2</v>
      </c>
      <c r="J12" s="40">
        <v>283.73989999999998</v>
      </c>
      <c r="K12" s="40">
        <f>AVERAGE(J12:J12)</f>
        <v>283.73989999999998</v>
      </c>
    </row>
    <row r="13" spans="3:11">
      <c r="C13" s="12" t="s">
        <v>2</v>
      </c>
      <c r="D13" s="13"/>
      <c r="E13" s="14"/>
      <c r="F13" s="16"/>
      <c r="H13" s="12" t="s">
        <v>2</v>
      </c>
      <c r="I13" s="13"/>
      <c r="J13" s="14"/>
      <c r="K13" s="16"/>
    </row>
    <row r="14" spans="3:11">
      <c r="C14" s="17" t="s">
        <v>3</v>
      </c>
      <c r="D14" s="18"/>
      <c r="E14" s="19"/>
      <c r="F14" s="20"/>
      <c r="H14" s="17" t="s">
        <v>3</v>
      </c>
      <c r="I14" s="18"/>
      <c r="J14" s="19"/>
      <c r="K14" s="20"/>
    </row>
  </sheetData>
  <mergeCells count="6">
    <mergeCell ref="J6:K6"/>
    <mergeCell ref="C6:C7"/>
    <mergeCell ref="D6:D7"/>
    <mergeCell ref="E6:F6"/>
    <mergeCell ref="H6:H7"/>
    <mergeCell ref="I6:I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BDB3-8DC6-2740-915A-3AB6FE1849E8}">
  <dimension ref="B6:T25"/>
  <sheetViews>
    <sheetView tabSelected="1" zoomScale="89" zoomScaleNormal="89" workbookViewId="0">
      <selection activeCell="E29" sqref="E29"/>
    </sheetView>
  </sheetViews>
  <sheetFormatPr baseColWidth="10" defaultRowHeight="15"/>
  <cols>
    <col min="1" max="4" width="10.83203125" style="26"/>
    <col min="5" max="5" width="32" style="26" customWidth="1"/>
    <col min="6" max="7" width="29.1640625" style="26" customWidth="1"/>
    <col min="8" max="8" width="24.6640625" style="26" customWidth="1"/>
    <col min="9" max="9" width="25.1640625" style="26" customWidth="1"/>
    <col min="10" max="10" width="27.83203125" style="26" customWidth="1"/>
    <col min="11" max="13" width="10.83203125" style="26"/>
    <col min="14" max="14" width="19" style="26" customWidth="1"/>
    <col min="15" max="15" width="25.1640625" style="26" customWidth="1"/>
    <col min="16" max="16" width="18.33203125" style="26" customWidth="1"/>
    <col min="17" max="17" width="25.5" style="26" customWidth="1"/>
    <col min="18" max="18" width="16.6640625" style="26" customWidth="1"/>
    <col min="19" max="19" width="18.6640625" style="26" customWidth="1"/>
    <col min="20" max="20" width="24.83203125" style="26" customWidth="1"/>
    <col min="21" max="16384" width="10.83203125" style="26"/>
  </cols>
  <sheetData>
    <row r="6" spans="2:20" ht="15" customHeight="1">
      <c r="B6" s="65" t="s">
        <v>10</v>
      </c>
      <c r="C6" s="65"/>
      <c r="D6" s="65"/>
      <c r="E6" s="65"/>
      <c r="F6" s="65"/>
      <c r="G6" s="65"/>
      <c r="H6" s="65"/>
      <c r="I6" s="65"/>
      <c r="J6" s="65"/>
      <c r="L6" s="65" t="s">
        <v>26</v>
      </c>
      <c r="M6" s="65"/>
      <c r="N6" s="65"/>
      <c r="O6" s="65"/>
      <c r="P6" s="65"/>
      <c r="Q6" s="65"/>
      <c r="R6" s="65"/>
      <c r="S6" s="65"/>
      <c r="T6" s="65"/>
    </row>
    <row r="7" spans="2:20" ht="68" customHeight="1">
      <c r="B7" s="1" t="s">
        <v>0</v>
      </c>
      <c r="C7" s="1" t="s">
        <v>1</v>
      </c>
      <c r="D7" s="1" t="s">
        <v>9</v>
      </c>
      <c r="E7" s="30" t="s">
        <v>4</v>
      </c>
      <c r="F7" s="30" t="s">
        <v>16</v>
      </c>
      <c r="G7" s="30" t="s">
        <v>17</v>
      </c>
      <c r="H7" s="30" t="s">
        <v>7</v>
      </c>
      <c r="I7" s="30" t="s">
        <v>18</v>
      </c>
      <c r="J7" s="30" t="s">
        <v>19</v>
      </c>
      <c r="L7" s="1" t="s">
        <v>0</v>
      </c>
      <c r="M7" s="1" t="s">
        <v>1</v>
      </c>
      <c r="N7" s="1" t="s">
        <v>27</v>
      </c>
      <c r="O7" s="30" t="s">
        <v>28</v>
      </c>
      <c r="P7" s="30" t="s">
        <v>29</v>
      </c>
      <c r="Q7" s="30" t="s">
        <v>30</v>
      </c>
      <c r="R7" s="30" t="s">
        <v>31</v>
      </c>
      <c r="S7" s="30" t="s">
        <v>32</v>
      </c>
      <c r="T7" s="30" t="s">
        <v>33</v>
      </c>
    </row>
    <row r="8" spans="2:20">
      <c r="B8" s="31">
        <v>40</v>
      </c>
      <c r="C8" s="31">
        <v>2.5000000000000001E-2</v>
      </c>
      <c r="D8" s="1">
        <v>6168.33</v>
      </c>
      <c r="E8" s="31">
        <v>861.75250000000005</v>
      </c>
      <c r="F8" s="31">
        <v>1575.306</v>
      </c>
      <c r="G8" s="31">
        <v>6110.89</v>
      </c>
      <c r="H8" s="31">
        <v>1192.7075</v>
      </c>
      <c r="I8" s="32">
        <v>2420.7419999999997</v>
      </c>
      <c r="J8" s="32">
        <v>7719.51</v>
      </c>
      <c r="L8" s="31">
        <v>40</v>
      </c>
      <c r="M8" s="31">
        <v>2.5000000000000001E-2</v>
      </c>
      <c r="N8" s="1">
        <f>D8/D8</f>
        <v>1</v>
      </c>
      <c r="O8" s="31">
        <f>D8/E8</f>
        <v>7.1578904615884484</v>
      </c>
      <c r="P8" s="31"/>
      <c r="Q8" s="31"/>
      <c r="R8" s="31">
        <f>D8/H8</f>
        <v>5.1717038754262887</v>
      </c>
      <c r="S8" s="32"/>
      <c r="T8" s="32"/>
    </row>
    <row r="9" spans="2:20">
      <c r="B9" s="31">
        <v>50</v>
      </c>
      <c r="C9" s="31">
        <v>1.4999999999999999E-2</v>
      </c>
      <c r="D9" s="1">
        <v>10333.16</v>
      </c>
      <c r="E9" s="31">
        <v>1344.33</v>
      </c>
      <c r="F9" s="31">
        <v>2860.6259999999997</v>
      </c>
      <c r="G9" s="31">
        <v>8976.73</v>
      </c>
      <c r="H9" s="31">
        <v>1771.1975</v>
      </c>
      <c r="I9" s="32">
        <v>3427.7599999999998</v>
      </c>
      <c r="J9" s="32">
        <v>10625.45</v>
      </c>
      <c r="L9" s="31">
        <v>50</v>
      </c>
      <c r="M9" s="31">
        <v>1.4999999999999999E-2</v>
      </c>
      <c r="N9" s="1">
        <f t="shared" ref="N9:N11" si="0">D9/D9</f>
        <v>1</v>
      </c>
      <c r="O9" s="31">
        <f t="shared" ref="O9:O11" si="1">D9/E9</f>
        <v>7.6864757909144332</v>
      </c>
      <c r="P9" s="31"/>
      <c r="Q9" s="31"/>
      <c r="R9" s="31">
        <f t="shared" ref="R9:R11" si="2">D9/H9</f>
        <v>5.833996491074541</v>
      </c>
      <c r="S9" s="32"/>
      <c r="T9" s="32"/>
    </row>
    <row r="10" spans="2:20">
      <c r="B10" s="31">
        <v>45</v>
      </c>
      <c r="C10" s="31">
        <v>0.02</v>
      </c>
      <c r="D10" s="1">
        <v>12780.86</v>
      </c>
      <c r="E10" s="31">
        <v>1134.83</v>
      </c>
      <c r="F10" s="31">
        <v>2749.8419999999996</v>
      </c>
      <c r="G10" s="31">
        <v>9224.7199999999993</v>
      </c>
      <c r="H10" s="31">
        <v>1695.6100000000001</v>
      </c>
      <c r="I10" s="32">
        <v>3963.9260000000004</v>
      </c>
      <c r="J10" s="32">
        <v>11139.39</v>
      </c>
      <c r="L10" s="31">
        <v>45</v>
      </c>
      <c r="M10" s="31">
        <v>0.02</v>
      </c>
      <c r="N10" s="1">
        <f t="shared" si="0"/>
        <v>1</v>
      </c>
      <c r="O10" s="31">
        <f t="shared" si="1"/>
        <v>11.262356476300416</v>
      </c>
      <c r="P10" s="31"/>
      <c r="Q10" s="31"/>
      <c r="R10" s="31">
        <f t="shared" si="2"/>
        <v>7.5376177304922711</v>
      </c>
      <c r="S10" s="32"/>
      <c r="T10" s="32"/>
    </row>
    <row r="11" spans="2:20">
      <c r="B11" s="31">
        <v>40</v>
      </c>
      <c r="C11" s="31">
        <v>0.03</v>
      </c>
      <c r="D11" s="1">
        <v>80973.86</v>
      </c>
      <c r="E11" s="31">
        <v>4754.68</v>
      </c>
      <c r="F11" s="31">
        <v>9816.77</v>
      </c>
      <c r="G11" s="31">
        <v>23182.36</v>
      </c>
      <c r="H11" s="31">
        <v>7921.5322500000002</v>
      </c>
      <c r="I11" s="32">
        <v>11755.665999999999</v>
      </c>
      <c r="J11" s="32">
        <v>24477.8</v>
      </c>
      <c r="L11" s="31">
        <v>40</v>
      </c>
      <c r="M11" s="31">
        <v>0.03</v>
      </c>
      <c r="N11" s="1">
        <f t="shared" si="0"/>
        <v>1</v>
      </c>
      <c r="O11" s="31">
        <f t="shared" si="1"/>
        <v>17.030349045571942</v>
      </c>
      <c r="P11" s="31"/>
      <c r="Q11" s="31"/>
      <c r="R11" s="31">
        <f t="shared" si="2"/>
        <v>10.221994614741359</v>
      </c>
      <c r="S11" s="32"/>
      <c r="T11" s="32"/>
    </row>
    <row r="12" spans="2:20">
      <c r="B12" s="31" t="s">
        <v>2</v>
      </c>
      <c r="C12" s="31"/>
      <c r="D12" s="31"/>
      <c r="E12" s="31"/>
      <c r="F12" s="31"/>
      <c r="G12" s="31"/>
      <c r="H12" s="31"/>
      <c r="I12" s="33"/>
      <c r="J12" s="32"/>
      <c r="L12" s="31" t="s">
        <v>2</v>
      </c>
      <c r="M12" s="31"/>
      <c r="N12" s="31"/>
      <c r="O12" s="31">
        <f>MAX(O8:O11)</f>
        <v>17.030349045571942</v>
      </c>
      <c r="P12" s="31"/>
      <c r="Q12" s="31"/>
      <c r="R12" s="31">
        <f>MAX(R8:R11)</f>
        <v>10.221994614741359</v>
      </c>
      <c r="S12" s="33"/>
      <c r="T12" s="32"/>
    </row>
    <row r="13" spans="2:20">
      <c r="B13" s="31" t="s">
        <v>3</v>
      </c>
      <c r="C13" s="31"/>
      <c r="D13" s="31"/>
      <c r="E13" s="31"/>
      <c r="F13" s="31"/>
      <c r="G13" s="31"/>
      <c r="H13" s="31"/>
      <c r="I13" s="33"/>
      <c r="J13" s="32"/>
      <c r="L13" s="31" t="s">
        <v>3</v>
      </c>
      <c r="M13" s="31"/>
      <c r="N13" s="31"/>
      <c r="O13" s="31">
        <f>MIN(O8:O12)</f>
        <v>7.1578904615884484</v>
      </c>
      <c r="P13" s="31"/>
      <c r="Q13" s="31"/>
      <c r="R13" s="31">
        <f>MIN(R8:R12)</f>
        <v>5.1717038754262887</v>
      </c>
      <c r="S13" s="33"/>
      <c r="T13" s="32"/>
    </row>
    <row r="18" spans="2:10" ht="15" customHeight="1">
      <c r="B18" s="65" t="s">
        <v>10</v>
      </c>
      <c r="C18" s="65"/>
      <c r="D18" s="65"/>
      <c r="E18" s="65"/>
      <c r="F18" s="65"/>
      <c r="G18" s="65"/>
      <c r="H18" s="65"/>
      <c r="I18" s="65"/>
      <c r="J18" s="65"/>
    </row>
    <row r="19" spans="2:10" ht="60">
      <c r="B19" s="34" t="s">
        <v>0</v>
      </c>
      <c r="C19" s="34" t="s">
        <v>1</v>
      </c>
      <c r="D19" s="34" t="s">
        <v>39</v>
      </c>
      <c r="E19" s="35" t="s">
        <v>14</v>
      </c>
      <c r="F19" s="35" t="s">
        <v>15</v>
      </c>
      <c r="G19" s="35" t="s">
        <v>23</v>
      </c>
      <c r="H19" s="35" t="s">
        <v>11</v>
      </c>
      <c r="I19" s="35" t="s">
        <v>13</v>
      </c>
      <c r="J19" s="36" t="s">
        <v>24</v>
      </c>
    </row>
    <row r="20" spans="2:10">
      <c r="B20" s="31">
        <v>40</v>
      </c>
      <c r="C20" s="31">
        <v>2.5000000000000001E-2</v>
      </c>
      <c r="D20" s="25">
        <v>8.2042000000000002</v>
      </c>
      <c r="E20" s="28">
        <v>9.5927500000000006</v>
      </c>
      <c r="F20" s="28">
        <v>18.072600000000001</v>
      </c>
      <c r="G20" s="28">
        <v>12.795</v>
      </c>
      <c r="H20" s="28">
        <v>7.3624999999999989</v>
      </c>
      <c r="I20" s="27">
        <v>10.8546</v>
      </c>
      <c r="J20" s="32">
        <v>10.039999999999999</v>
      </c>
    </row>
    <row r="21" spans="2:10">
      <c r="B21" s="31">
        <v>50</v>
      </c>
      <c r="C21" s="31">
        <v>1.4999999999999999E-2</v>
      </c>
      <c r="D21" s="25">
        <v>7.5407999999999999</v>
      </c>
      <c r="E21" s="28">
        <v>13.773</v>
      </c>
      <c r="F21" s="28">
        <v>14.164199999999999</v>
      </c>
      <c r="G21" s="28">
        <v>4.6340000000000003</v>
      </c>
      <c r="H21" s="28">
        <v>12.7355</v>
      </c>
      <c r="I21" s="27">
        <v>8.1397999999999993</v>
      </c>
      <c r="J21" s="32">
        <v>5.48</v>
      </c>
    </row>
    <row r="22" spans="2:10">
      <c r="B22" s="31">
        <v>45</v>
      </c>
      <c r="C22" s="31">
        <v>0.02</v>
      </c>
      <c r="D22" s="25">
        <v>5.5316000000000001</v>
      </c>
      <c r="E22" s="28">
        <v>7.2140000000000004</v>
      </c>
      <c r="F22" s="28">
        <v>17.3322</v>
      </c>
      <c r="G22" s="28">
        <v>4.6159999999999997</v>
      </c>
      <c r="H22" s="28">
        <v>6.7705000000000002</v>
      </c>
      <c r="I22" s="27">
        <v>8.9223999999999997</v>
      </c>
      <c r="J22" s="32">
        <v>5.9779999999999998</v>
      </c>
    </row>
    <row r="23" spans="2:10">
      <c r="B23" s="31">
        <v>40</v>
      </c>
      <c r="C23" s="31">
        <v>0.03</v>
      </c>
      <c r="D23" s="25">
        <v>25.006399999999999</v>
      </c>
      <c r="E23" s="28">
        <v>53.771000000000001</v>
      </c>
      <c r="F23" s="28">
        <v>77.602000000000004</v>
      </c>
      <c r="G23" s="28">
        <v>60.317</v>
      </c>
      <c r="H23" s="28">
        <v>65.932249999999996</v>
      </c>
      <c r="I23" s="27">
        <v>85.486400000000003</v>
      </c>
      <c r="J23" s="32">
        <v>35.1</v>
      </c>
    </row>
    <row r="24" spans="2:10">
      <c r="B24" s="28" t="s">
        <v>2</v>
      </c>
      <c r="C24" s="28"/>
      <c r="D24" s="28"/>
      <c r="E24" s="28"/>
      <c r="F24" s="28"/>
      <c r="G24" s="28"/>
      <c r="H24" s="28"/>
      <c r="I24" s="29"/>
      <c r="J24" s="32"/>
    </row>
    <row r="25" spans="2:10">
      <c r="B25" s="28" t="s">
        <v>3</v>
      </c>
      <c r="C25" s="28"/>
      <c r="D25" s="28"/>
      <c r="E25" s="28"/>
      <c r="F25" s="28"/>
      <c r="G25" s="28"/>
      <c r="H25" s="28"/>
      <c r="I25" s="29"/>
      <c r="J25" s="32"/>
    </row>
  </sheetData>
  <mergeCells count="3">
    <mergeCell ref="B6:J6"/>
    <mergeCell ref="B18:J18"/>
    <mergeCell ref="L6:T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ProPnjBKZ(EnumBS)</vt:lpstr>
      <vt:lpstr>ProPnjBKZ(BSSA)</vt:lpstr>
      <vt:lpstr>default G6K</vt:lpstr>
      <vt:lpstr>cost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Wenwen Xia</cp:lastModifiedBy>
  <dcterms:created xsi:type="dcterms:W3CDTF">2014-01-14T12:06:47Z</dcterms:created>
  <dcterms:modified xsi:type="dcterms:W3CDTF">2025-12-29T14:24:23Z</dcterms:modified>
</cp:coreProperties>
</file>